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충북소통메신저 받은 파일\"/>
    </mc:Choice>
  </mc:AlternateContent>
  <xr:revisionPtr revIDLastSave="0" documentId="13_ncr:1_{57FF9AE1-D9AD-4D88-8B3D-6359A32E2860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definedNames>
    <definedName name="_xlnm._FilterDatabase" localSheetId="0" hidden="1">Sheet1!$A$1:$BE$29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12" i="1" l="1"/>
  <c r="AZ13" i="1"/>
  <c r="AZ11" i="1" l="1"/>
  <c r="AF6" i="1" l="1"/>
  <c r="AX9" i="1" l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X6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7" i="1"/>
  <c r="T29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7" i="1"/>
  <c r="J29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7" i="1"/>
  <c r="L29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7" i="1"/>
  <c r="AX8" i="1"/>
  <c r="AX29" i="1"/>
  <c r="AX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7" i="1"/>
  <c r="AT8" i="1"/>
  <c r="AT29" i="1"/>
  <c r="AT6" i="1" s="1"/>
  <c r="AT7" i="1"/>
  <c r="AR29" i="1"/>
  <c r="AR6" i="1" s="1"/>
  <c r="AR8" i="1"/>
  <c r="AR7" i="1"/>
  <c r="AB29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13" i="1"/>
  <c r="AB14" i="1"/>
  <c r="AB11" i="1"/>
  <c r="AB12" i="1"/>
  <c r="AB8" i="1"/>
  <c r="AB9" i="1"/>
  <c r="AB10" i="1"/>
  <c r="AB7" i="1"/>
  <c r="E6" i="1" l="1"/>
  <c r="F6" i="1" l="1"/>
  <c r="AI9" i="1" l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8" i="1"/>
  <c r="AI7" i="1"/>
  <c r="AI6" i="1" l="1"/>
  <c r="AH6" i="1"/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8" i="1"/>
  <c r="G7" i="1"/>
  <c r="AZ16" i="1" l="1"/>
  <c r="AZ8" i="1"/>
  <c r="AZ29" i="1" l="1"/>
  <c r="AP29" i="1"/>
  <c r="AP6" i="1" s="1"/>
  <c r="AN29" i="1"/>
  <c r="AL29" i="1"/>
  <c r="Z29" i="1"/>
  <c r="AZ28" i="1"/>
  <c r="AN28" i="1"/>
  <c r="AL28" i="1"/>
  <c r="Z28" i="1"/>
  <c r="AZ27" i="1"/>
  <c r="AN27" i="1"/>
  <c r="AL27" i="1"/>
  <c r="Z27" i="1"/>
  <c r="AZ26" i="1"/>
  <c r="AN26" i="1"/>
  <c r="AL26" i="1"/>
  <c r="Z26" i="1"/>
  <c r="AZ25" i="1"/>
  <c r="AN25" i="1"/>
  <c r="AL25" i="1"/>
  <c r="Z25" i="1"/>
  <c r="AZ24" i="1"/>
  <c r="AN24" i="1"/>
  <c r="AL24" i="1"/>
  <c r="Z24" i="1"/>
  <c r="AZ23" i="1"/>
  <c r="AN23" i="1"/>
  <c r="AL23" i="1"/>
  <c r="Z23" i="1"/>
  <c r="AZ22" i="1"/>
  <c r="AN22" i="1"/>
  <c r="AL22" i="1"/>
  <c r="Z22" i="1"/>
  <c r="AZ21" i="1"/>
  <c r="AN21" i="1"/>
  <c r="AL21" i="1"/>
  <c r="Z21" i="1"/>
  <c r="AZ20" i="1"/>
  <c r="AN20" i="1"/>
  <c r="AL20" i="1"/>
  <c r="Z20" i="1"/>
  <c r="AZ19" i="1"/>
  <c r="AN19" i="1"/>
  <c r="AL19" i="1"/>
  <c r="Z19" i="1"/>
  <c r="AZ18" i="1"/>
  <c r="AN18" i="1"/>
  <c r="AL18" i="1"/>
  <c r="Z18" i="1"/>
  <c r="AZ17" i="1"/>
  <c r="AN17" i="1"/>
  <c r="AL17" i="1"/>
  <c r="Z17" i="1"/>
  <c r="AN16" i="1"/>
  <c r="AL16" i="1"/>
  <c r="Z16" i="1"/>
  <c r="AZ15" i="1"/>
  <c r="AN15" i="1"/>
  <c r="AL15" i="1"/>
  <c r="Z15" i="1"/>
  <c r="AZ14" i="1"/>
  <c r="AN14" i="1"/>
  <c r="AL14" i="1"/>
  <c r="Z14" i="1"/>
  <c r="AN13" i="1"/>
  <c r="AL13" i="1"/>
  <c r="Z13" i="1"/>
  <c r="AN12" i="1"/>
  <c r="AL12" i="1"/>
  <c r="Z12" i="1"/>
  <c r="AN11" i="1"/>
  <c r="AL11" i="1"/>
  <c r="Z11" i="1"/>
  <c r="AZ10" i="1"/>
  <c r="AN10" i="1"/>
  <c r="AL10" i="1"/>
  <c r="Z10" i="1"/>
  <c r="AZ9" i="1"/>
  <c r="AN9" i="1"/>
  <c r="AL9" i="1"/>
  <c r="Z9" i="1"/>
  <c r="AP8" i="1"/>
  <c r="AN8" i="1"/>
  <c r="AL8" i="1"/>
  <c r="Z8" i="1"/>
  <c r="AZ7" i="1"/>
  <c r="AP7" i="1"/>
  <c r="AN7" i="1"/>
  <c r="AL7" i="1"/>
  <c r="Z7" i="1"/>
  <c r="BC6" i="1"/>
  <c r="AY6" i="1"/>
  <c r="AU6" i="1"/>
  <c r="AS6" i="1"/>
  <c r="AD6" i="1"/>
  <c r="AA6" i="1"/>
  <c r="Y6" i="1"/>
  <c r="W6" i="1"/>
  <c r="U6" i="1"/>
  <c r="S6" i="1"/>
  <c r="Q6" i="1"/>
  <c r="O6" i="1"/>
  <c r="M6" i="1"/>
  <c r="K6" i="1"/>
  <c r="I6" i="1"/>
  <c r="N6" i="1" l="1"/>
  <c r="AC16" i="1"/>
  <c r="AJ16" i="1" s="1"/>
  <c r="J6" i="1"/>
  <c r="AV6" i="1"/>
  <c r="V6" i="1"/>
  <c r="BA25" i="1"/>
  <c r="R6" i="1"/>
  <c r="P6" i="1"/>
  <c r="AC20" i="1"/>
  <c r="AJ20" i="1" s="1"/>
  <c r="L6" i="1"/>
  <c r="BA26" i="1"/>
  <c r="AC26" i="1"/>
  <c r="AJ26" i="1" s="1"/>
  <c r="AC29" i="1"/>
  <c r="AJ29" i="1" s="1"/>
  <c r="AC13" i="1"/>
  <c r="AJ13" i="1" s="1"/>
  <c r="BA27" i="1"/>
  <c r="BA10" i="1"/>
  <c r="BA9" i="1"/>
  <c r="AC10" i="1"/>
  <c r="AJ10" i="1" s="1"/>
  <c r="AL6" i="1"/>
  <c r="BA24" i="1"/>
  <c r="BA16" i="1"/>
  <c r="AC18" i="1"/>
  <c r="AJ18" i="1" s="1"/>
  <c r="X6" i="1"/>
  <c r="AC24" i="1"/>
  <c r="AJ24" i="1" s="1"/>
  <c r="AC11" i="1"/>
  <c r="AJ11" i="1" s="1"/>
  <c r="AB6" i="1"/>
  <c r="T6" i="1"/>
  <c r="AC23" i="1"/>
  <c r="AJ23" i="1" s="1"/>
  <c r="AC22" i="1"/>
  <c r="AJ22" i="1" s="1"/>
  <c r="AC14" i="1"/>
  <c r="AJ14" i="1" s="1"/>
  <c r="BA17" i="1"/>
  <c r="AC8" i="1"/>
  <c r="AJ8" i="1" s="1"/>
  <c r="BA7" i="1"/>
  <c r="AC21" i="1"/>
  <c r="AJ21" i="1" s="1"/>
  <c r="AC12" i="1"/>
  <c r="AJ12" i="1" s="1"/>
  <c r="AC15" i="1"/>
  <c r="AJ15" i="1" s="1"/>
  <c r="Z6" i="1"/>
  <c r="BA8" i="1"/>
  <c r="AZ6" i="1"/>
  <c r="AN6" i="1"/>
  <c r="BA18" i="1"/>
  <c r="BA19" i="1"/>
  <c r="BA11" i="1"/>
  <c r="BA12" i="1"/>
  <c r="BA13" i="1"/>
  <c r="BA20" i="1"/>
  <c r="BA21" i="1"/>
  <c r="BA14" i="1"/>
  <c r="BA15" i="1"/>
  <c r="BA22" i="1"/>
  <c r="BA23" i="1"/>
  <c r="BA28" i="1"/>
  <c r="BA29" i="1"/>
  <c r="AC7" i="1"/>
  <c r="AJ7" i="1" s="1"/>
  <c r="AC9" i="1"/>
  <c r="AJ9" i="1" s="1"/>
  <c r="AC19" i="1"/>
  <c r="AJ19" i="1" s="1"/>
  <c r="AC28" i="1"/>
  <c r="AJ28" i="1" s="1"/>
  <c r="AC17" i="1"/>
  <c r="AJ17" i="1" s="1"/>
  <c r="AC25" i="1"/>
  <c r="AJ25" i="1" s="1"/>
  <c r="AC27" i="1"/>
  <c r="AJ27" i="1" s="1"/>
  <c r="AJ6" i="1" l="1"/>
  <c r="BB20" i="1"/>
  <c r="BD20" i="1" s="1"/>
  <c r="BB26" i="1"/>
  <c r="BD26" i="1" s="1"/>
  <c r="BB29" i="1"/>
  <c r="BD29" i="1" s="1"/>
  <c r="BB13" i="1"/>
  <c r="BD13" i="1" s="1"/>
  <c r="BB18" i="1"/>
  <c r="BD18" i="1" s="1"/>
  <c r="BB27" i="1"/>
  <c r="BD27" i="1" s="1"/>
  <c r="BB24" i="1"/>
  <c r="BD24" i="1" s="1"/>
  <c r="BB10" i="1"/>
  <c r="BD10" i="1" s="1"/>
  <c r="BB9" i="1"/>
  <c r="BD9" i="1" s="1"/>
  <c r="BB11" i="1"/>
  <c r="BD11" i="1" s="1"/>
  <c r="BA6" i="1"/>
  <c r="BB17" i="1"/>
  <c r="BD17" i="1" s="1"/>
  <c r="BB25" i="1"/>
  <c r="BD25" i="1" s="1"/>
  <c r="BB23" i="1"/>
  <c r="BD23" i="1" s="1"/>
  <c r="AC6" i="1"/>
  <c r="BB22" i="1"/>
  <c r="BD22" i="1" s="1"/>
  <c r="BB14" i="1"/>
  <c r="BD14" i="1" s="1"/>
  <c r="BB19" i="1"/>
  <c r="BD19" i="1" s="1"/>
  <c r="BB15" i="1"/>
  <c r="BD15" i="1" s="1"/>
  <c r="BB28" i="1"/>
  <c r="BD28" i="1" s="1"/>
  <c r="BB8" i="1"/>
  <c r="BD8" i="1" s="1"/>
  <c r="BB21" i="1"/>
  <c r="BD21" i="1" s="1"/>
  <c r="BB12" i="1"/>
  <c r="BD12" i="1" s="1"/>
  <c r="BB7" i="1"/>
  <c r="BD7" i="1" s="1"/>
  <c r="BB16" i="1"/>
  <c r="BD16" i="1" s="1"/>
  <c r="BB6" i="1" l="1"/>
  <c r="B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U4" authorId="0" shapeId="0" xr:uid="{00000000-0006-0000-0000-000001000000}">
      <text>
        <r>
          <rPr>
            <b/>
            <sz val="12"/>
            <color indexed="81"/>
            <rFont val="맑은 고딕"/>
            <family val="3"/>
            <charset val="129"/>
          </rPr>
          <t>주의사항
수석교사는 숫자는
관내전출/관외전출숫자에서 제외하여 계산함</t>
        </r>
      </text>
    </comment>
    <comment ref="W4" authorId="1" shapeId="0" xr:uid="{3C93DE54-5BAE-4DD2-8339-B03484C2B0BE}">
      <text>
        <r>
          <rPr>
            <sz val="14"/>
            <color indexed="81"/>
            <rFont val="돋움"/>
            <family val="3"/>
            <charset val="129"/>
          </rPr>
          <t>타시군전출자중에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관내내신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제출한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사람은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없는지
</t>
        </r>
      </text>
    </comment>
  </commentList>
</comments>
</file>

<file path=xl/sharedStrings.xml><?xml version="1.0" encoding="utf-8"?>
<sst xmlns="http://schemas.openxmlformats.org/spreadsheetml/2006/main" count="105" uniqueCount="65">
  <si>
    <r>
      <t>도교육청 전의안 자료 입력먼저 함, (  )가 있어야 카운트가 됨, 카운트가 되지 않게 하려면</t>
    </r>
    <r>
      <rPr>
        <sz val="12"/>
        <color indexed="10"/>
        <rFont val="돋움"/>
        <family val="3"/>
        <charset val="129"/>
      </rPr>
      <t xml:space="preserve"> '홍길동 청주초'</t>
    </r>
    <r>
      <rPr>
        <sz val="12"/>
        <rFont val="돋움"/>
        <family val="3"/>
        <charset val="129"/>
      </rPr>
      <t xml:space="preserve"> 이렇게 적으면 됨. </t>
    </r>
    <phoneticPr fontId="4" type="noConversion"/>
  </si>
  <si>
    <t>연번</t>
    <phoneticPr fontId="4" type="noConversion"/>
  </si>
  <si>
    <t>학교</t>
    <phoneticPr fontId="4" type="noConversion"/>
  </si>
  <si>
    <t>결  원  현  황</t>
    <phoneticPr fontId="4" type="noConversion"/>
  </si>
  <si>
    <t>결
원
계</t>
    <phoneticPr fontId="4" type="noConversion"/>
  </si>
  <si>
    <t>과
부
족</t>
    <phoneticPr fontId="4" type="noConversion"/>
  </si>
  <si>
    <t>보충
계</t>
    <phoneticPr fontId="4" type="noConversion"/>
  </si>
  <si>
    <t>현원
계</t>
    <phoneticPr fontId="4" type="noConversion"/>
  </si>
  <si>
    <t>기
간
제</t>
    <phoneticPr fontId="4" type="noConversion"/>
  </si>
  <si>
    <t>정원
대비</t>
    <phoneticPr fontId="4" type="noConversion"/>
  </si>
  <si>
    <t>별도정원</t>
    <phoneticPr fontId="4" type="noConversion"/>
  </si>
  <si>
    <t>학급</t>
    <phoneticPr fontId="4" type="noConversion"/>
  </si>
  <si>
    <t>전담</t>
    <phoneticPr fontId="4" type="noConversion"/>
  </si>
  <si>
    <t>계</t>
    <phoneticPr fontId="4" type="noConversion"/>
  </si>
  <si>
    <r>
      <t>시도간
파견출</t>
    </r>
    <r>
      <rPr>
        <b/>
        <sz val="14"/>
        <color indexed="10"/>
        <rFont val="굴림"/>
        <family val="3"/>
        <charset val="129"/>
      </rPr>
      <t>/만료출</t>
    </r>
    <r>
      <rPr>
        <b/>
        <sz val="14"/>
        <color indexed="12"/>
        <rFont val="굴림"/>
        <family val="3"/>
        <charset val="129"/>
      </rPr>
      <t>/교류출</t>
    </r>
    <phoneticPr fontId="4" type="noConversion"/>
  </si>
  <si>
    <r>
      <rPr>
        <b/>
        <sz val="14"/>
        <color indexed="12"/>
        <rFont val="굴림"/>
        <family val="3"/>
        <charset val="129"/>
      </rPr>
      <t>국립전출/</t>
    </r>
    <r>
      <rPr>
        <b/>
        <sz val="14"/>
        <rFont val="굴림"/>
        <family val="3"/>
        <charset val="129"/>
      </rPr>
      <t>초빙</t>
    </r>
    <r>
      <rPr>
        <b/>
        <sz val="14"/>
        <color indexed="10"/>
        <rFont val="굴림"/>
        <family val="3"/>
        <charset val="129"/>
      </rPr>
      <t>/징계</t>
    </r>
    <phoneticPr fontId="4" type="noConversion"/>
  </si>
  <si>
    <r>
      <t>석사파견</t>
    </r>
    <r>
      <rPr>
        <b/>
        <sz val="14"/>
        <color indexed="10"/>
        <rFont val="굴림"/>
        <family val="3"/>
        <charset val="129"/>
      </rPr>
      <t>/행정파견</t>
    </r>
    <phoneticPr fontId="4" type="noConversion"/>
  </si>
  <si>
    <r>
      <t>학습연구년</t>
    </r>
    <r>
      <rPr>
        <b/>
        <sz val="14"/>
        <color indexed="10"/>
        <rFont val="굴림"/>
        <family val="3"/>
        <charset val="129"/>
      </rPr>
      <t>/영어파견</t>
    </r>
    <phoneticPr fontId="4" type="noConversion"/>
  </si>
  <si>
    <r>
      <t>일방전출</t>
    </r>
    <r>
      <rPr>
        <b/>
        <sz val="14"/>
        <color indexed="10"/>
        <rFont val="굴림"/>
        <family val="3"/>
        <charset val="129"/>
      </rPr>
      <t>/수석교사</t>
    </r>
    <phoneticPr fontId="4" type="noConversion"/>
  </si>
  <si>
    <t>타시군 전출</t>
    <phoneticPr fontId="4" type="noConversion"/>
  </si>
  <si>
    <t>관내전출</t>
    <phoneticPr fontId="4" type="noConversion"/>
  </si>
  <si>
    <t>휴직</t>
    <phoneticPr fontId="4" type="noConversion"/>
  </si>
  <si>
    <t>복직</t>
    <phoneticPr fontId="4" type="noConversion"/>
  </si>
  <si>
    <t>관내전입</t>
    <phoneticPr fontId="4" type="noConversion"/>
  </si>
  <si>
    <t>타시군전입</t>
    <phoneticPr fontId="4" type="noConversion"/>
  </si>
  <si>
    <r>
      <t>시도간
파견입</t>
    </r>
    <r>
      <rPr>
        <b/>
        <sz val="14"/>
        <color indexed="12"/>
        <rFont val="굴림"/>
        <family val="3"/>
        <charset val="129"/>
      </rPr>
      <t>/만료입/</t>
    </r>
    <r>
      <rPr>
        <b/>
        <sz val="14"/>
        <color indexed="10"/>
        <rFont val="굴림"/>
        <family val="3"/>
        <charset val="129"/>
      </rPr>
      <t>교류입</t>
    </r>
    <phoneticPr fontId="4" type="noConversion"/>
  </si>
  <si>
    <r>
      <t>행정파견</t>
    </r>
    <r>
      <rPr>
        <b/>
        <sz val="14"/>
        <color indexed="10"/>
        <rFont val="굴림"/>
        <family val="3"/>
        <charset val="129"/>
      </rPr>
      <t>/석사파견</t>
    </r>
    <phoneticPr fontId="4" type="noConversion"/>
  </si>
  <si>
    <r>
      <t>국립전입</t>
    </r>
    <r>
      <rPr>
        <b/>
        <sz val="14"/>
        <color indexed="10"/>
        <rFont val="굴림"/>
        <family val="3"/>
        <charset val="129"/>
      </rPr>
      <t>/초빙</t>
    </r>
    <phoneticPr fontId="4" type="noConversion"/>
  </si>
  <si>
    <t>신규</t>
    <phoneticPr fontId="4" type="noConversion"/>
  </si>
  <si>
    <t>성명</t>
    <phoneticPr fontId="4" type="noConversion"/>
  </si>
  <si>
    <t>인원</t>
    <phoneticPr fontId="4" type="noConversion"/>
  </si>
  <si>
    <t>충 원 현 황</t>
    <phoneticPr fontId="3" type="noConversion"/>
  </si>
  <si>
    <t>수석</t>
    <phoneticPr fontId="3" type="noConversion"/>
  </si>
  <si>
    <t>남당초</t>
  </si>
  <si>
    <t>남천초</t>
  </si>
  <si>
    <t>명지초</t>
  </si>
  <si>
    <t>기타전담</t>
    <phoneticPr fontId="3" type="noConversion"/>
  </si>
  <si>
    <t>내토초</t>
    <phoneticPr fontId="3" type="noConversion"/>
  </si>
  <si>
    <t>장락초</t>
    <phoneticPr fontId="3" type="noConversion"/>
  </si>
  <si>
    <t>동명초</t>
    <phoneticPr fontId="3" type="noConversion"/>
  </si>
  <si>
    <t>두학초</t>
    <phoneticPr fontId="3" type="noConversion"/>
  </si>
  <si>
    <t>2.28.
현원</t>
    <phoneticPr fontId="4" type="noConversion"/>
  </si>
  <si>
    <t>금성초</t>
    <phoneticPr fontId="3" type="noConversion"/>
  </si>
  <si>
    <t>백운초</t>
    <phoneticPr fontId="3" type="noConversion"/>
  </si>
  <si>
    <t>봉양초</t>
    <phoneticPr fontId="3" type="noConversion"/>
  </si>
  <si>
    <t>송학초</t>
    <phoneticPr fontId="3" type="noConversion"/>
  </si>
  <si>
    <t>수산초</t>
    <phoneticPr fontId="3" type="noConversion"/>
  </si>
  <si>
    <t>신백초</t>
    <phoneticPr fontId="3" type="noConversion"/>
  </si>
  <si>
    <t>왕미초</t>
    <phoneticPr fontId="3" type="noConversion"/>
  </si>
  <si>
    <t>용두초</t>
    <phoneticPr fontId="3" type="noConversion"/>
  </si>
  <si>
    <t>의림초</t>
    <phoneticPr fontId="3" type="noConversion"/>
  </si>
  <si>
    <t>제천덕산초</t>
    <phoneticPr fontId="3" type="noConversion"/>
  </si>
  <si>
    <t>제천중앙초</t>
    <phoneticPr fontId="3" type="noConversion"/>
  </si>
  <si>
    <t>청풍초</t>
    <phoneticPr fontId="3" type="noConversion"/>
  </si>
  <si>
    <t>한송초</t>
    <phoneticPr fontId="3" type="noConversion"/>
  </si>
  <si>
    <t>홍광초</t>
    <phoneticPr fontId="3" type="noConversion"/>
  </si>
  <si>
    <t>화당초</t>
    <phoneticPr fontId="3" type="noConversion"/>
  </si>
  <si>
    <t>화산초</t>
    <phoneticPr fontId="3" type="noConversion"/>
  </si>
  <si>
    <r>
      <rPr>
        <b/>
        <sz val="14"/>
        <rFont val="굴림"/>
        <family val="3"/>
        <charset val="129"/>
      </rPr>
      <t xml:space="preserve">과원
</t>
    </r>
    <r>
      <rPr>
        <b/>
        <sz val="14"/>
        <color rgb="FFFF0000"/>
        <rFont val="굴림"/>
        <family val="3"/>
        <charset val="129"/>
      </rPr>
      <t>(현원)</t>
    </r>
    <phoneticPr fontId="3" type="noConversion"/>
  </si>
  <si>
    <r>
      <t>승진/</t>
    </r>
    <r>
      <rPr>
        <b/>
        <sz val="18"/>
        <color indexed="12"/>
        <rFont val="굴림"/>
        <family val="3"/>
        <charset val="129"/>
      </rPr>
      <t>전직</t>
    </r>
    <phoneticPr fontId="4" type="noConversion"/>
  </si>
  <si>
    <r>
      <rPr>
        <b/>
        <sz val="18"/>
        <color indexed="8"/>
        <rFont val="굴림"/>
        <family val="3"/>
        <charset val="129"/>
      </rPr>
      <t>정퇴/</t>
    </r>
    <r>
      <rPr>
        <b/>
        <sz val="18"/>
        <color indexed="12"/>
        <rFont val="굴림"/>
        <family val="3"/>
        <charset val="129"/>
      </rPr>
      <t>명퇴/</t>
    </r>
    <r>
      <rPr>
        <b/>
        <sz val="18"/>
        <color indexed="10"/>
        <rFont val="굴림"/>
        <family val="3"/>
        <charset val="129"/>
      </rPr>
      <t>면직</t>
    </r>
    <phoneticPr fontId="4" type="noConversion"/>
  </si>
  <si>
    <r>
      <t>비정기</t>
    </r>
    <r>
      <rPr>
        <b/>
        <sz val="18"/>
        <color indexed="10"/>
        <rFont val="굴림"/>
        <family val="3"/>
        <charset val="129"/>
      </rPr>
      <t>/수석교사</t>
    </r>
    <phoneticPr fontId="4" type="noConversion"/>
  </si>
  <si>
    <t>26.02.28.자 정원</t>
    <phoneticPr fontId="4" type="noConversion"/>
  </si>
  <si>
    <t xml:space="preserve">2026.03.01.자 초등교사 전의안 </t>
    <phoneticPr fontId="4" type="noConversion"/>
  </si>
  <si>
    <t>26.03.01자 정원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</si>
</sst>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0_ 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36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12"/>
      <color rgb="FF0000FF"/>
      <name val="돋움"/>
      <family val="3"/>
      <charset val="129"/>
    </font>
    <font>
      <sz val="12"/>
      <color indexed="10"/>
      <name val="돋움"/>
      <family val="3"/>
      <charset val="129"/>
    </font>
    <font>
      <b/>
      <sz val="12"/>
      <name val="굴림"/>
      <family val="3"/>
      <charset val="129"/>
    </font>
    <font>
      <b/>
      <sz val="14"/>
      <name val="굴림"/>
      <family val="3"/>
      <charset val="129"/>
    </font>
    <font>
      <b/>
      <sz val="14"/>
      <color indexed="8"/>
      <name val="굴림"/>
      <family val="3"/>
      <charset val="129"/>
    </font>
    <font>
      <b/>
      <sz val="14"/>
      <name val="돋움"/>
      <family val="3"/>
      <charset val="129"/>
    </font>
    <font>
      <b/>
      <sz val="14"/>
      <color indexed="12"/>
      <name val="굴림"/>
      <family val="3"/>
      <charset val="129"/>
    </font>
    <font>
      <b/>
      <sz val="14"/>
      <color indexed="10"/>
      <name val="굴림"/>
      <family val="3"/>
      <charset val="129"/>
    </font>
    <font>
      <sz val="12"/>
      <name val="굴림"/>
      <family val="3"/>
      <charset val="129"/>
    </font>
    <font>
      <sz val="11"/>
      <name val="돋움"/>
      <family val="3"/>
      <charset val="129"/>
    </font>
    <font>
      <sz val="14"/>
      <name val="돋움"/>
      <family val="3"/>
      <charset val="129"/>
    </font>
    <font>
      <b/>
      <sz val="12"/>
      <color indexed="81"/>
      <name val="맑은 고딕"/>
      <family val="3"/>
      <charset val="129"/>
    </font>
    <font>
      <sz val="12"/>
      <color rgb="FFFF0000"/>
      <name val="돋움"/>
      <family val="3"/>
      <charset val="129"/>
    </font>
    <font>
      <b/>
      <sz val="14"/>
      <color rgb="FFFF0000"/>
      <name val="굴림"/>
      <family val="3"/>
      <charset val="129"/>
    </font>
    <font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b/>
      <sz val="18"/>
      <name val="굴림"/>
      <family val="3"/>
      <charset val="129"/>
    </font>
    <font>
      <b/>
      <sz val="18"/>
      <color indexed="10"/>
      <name val="굴림"/>
      <family val="3"/>
      <charset val="129"/>
    </font>
    <font>
      <b/>
      <sz val="18"/>
      <color indexed="12"/>
      <name val="굴림"/>
      <family val="3"/>
      <charset val="129"/>
    </font>
    <font>
      <b/>
      <sz val="18"/>
      <color indexed="8"/>
      <name val="굴림"/>
      <family val="3"/>
      <charset val="129"/>
    </font>
    <font>
      <sz val="20"/>
      <name val="굴림"/>
      <family val="3"/>
      <charset val="129"/>
    </font>
    <font>
      <sz val="20"/>
      <color rgb="FFFF0000"/>
      <name val="굴림"/>
      <family val="3"/>
      <charset val="129"/>
    </font>
    <font>
      <sz val="20"/>
      <name val="돋움"/>
      <family val="3"/>
      <charset val="129"/>
    </font>
    <font>
      <b/>
      <sz val="20"/>
      <name val="굴림"/>
      <family val="3"/>
      <charset val="129"/>
    </font>
    <font>
      <sz val="20"/>
      <color rgb="FF00B050"/>
      <name val="굴림"/>
      <family val="3"/>
      <charset val="129"/>
    </font>
    <font>
      <sz val="20"/>
      <color theme="1"/>
      <name val="굴림"/>
      <family val="3"/>
      <charset val="129"/>
    </font>
    <font>
      <sz val="20"/>
      <color rgb="FF0000FF"/>
      <name val="굴림"/>
      <family val="3"/>
      <charset val="129"/>
    </font>
    <font>
      <strike/>
      <sz val="20"/>
      <color rgb="FF0000FF"/>
      <name val="굴림"/>
      <family val="3"/>
      <charset val="129"/>
    </font>
    <font>
      <sz val="20"/>
      <name val="맑은 고딕"/>
      <family val="3"/>
      <charset val="129"/>
      <scheme val="major"/>
    </font>
    <font>
      <strike/>
      <sz val="20"/>
      <color rgb="FF00B0F0"/>
      <name val="굴림"/>
      <family val="3"/>
      <charset val="129"/>
    </font>
    <font>
      <strike/>
      <sz val="20"/>
      <color rgb="FFFF0000"/>
      <name val="굴림"/>
      <family val="3"/>
      <charset val="129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  <font>
      <strike/>
      <sz val="20"/>
      <name val="굴림"/>
      <family val="3"/>
      <charset val="129"/>
    </font>
    <font>
      <i/>
      <sz val="20"/>
      <name val="굴림"/>
      <family val="3"/>
      <charset val="129"/>
    </font>
    <font>
      <sz val="20"/>
      <color rgb="FF7030A0"/>
      <name val="굴림"/>
      <family val="3"/>
      <charset val="129"/>
    </font>
    <font>
      <sz val="20"/>
      <color rgb="FFFF0000"/>
      <name val="돋움"/>
      <family val="3"/>
      <charset val="129"/>
    </font>
    <font>
      <b/>
      <strike/>
      <sz val="20"/>
      <color rgb="FFFF0000"/>
      <name val="굴림"/>
      <family val="3"/>
      <charset val="129"/>
    </font>
    <font>
      <sz val="16"/>
      <name val="돋움"/>
      <family val="3"/>
      <charset val="129"/>
    </font>
    <font>
      <sz val="16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>
      <alignment vertical="center"/>
    </xf>
  </cellStyleXfs>
  <cellXfs count="254">
    <xf numFmtId="0" fontId="0" fillId="0" borderId="0" xfId="0">
      <alignment vertical="center"/>
    </xf>
    <xf numFmtId="0" fontId="5" fillId="0" borderId="0" xfId="0" applyFont="1" applyAlignment="1"/>
    <xf numFmtId="0" fontId="0" fillId="0" borderId="0" xfId="0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1" fillId="0" borderId="0" xfId="0" applyFont="1" applyAlignment="1"/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Alignment="1"/>
    <xf numFmtId="176" fontId="5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16" fillId="0" borderId="0" xfId="0" applyFont="1" applyAlignment="1"/>
    <xf numFmtId="41" fontId="0" fillId="0" borderId="0" xfId="1" applyFont="1" applyAlignment="1"/>
    <xf numFmtId="176" fontId="0" fillId="0" borderId="0" xfId="0" applyNumberFormat="1" applyAlignment="1"/>
    <xf numFmtId="176" fontId="16" fillId="0" borderId="0" xfId="0" applyNumberFormat="1" applyFont="1" applyFill="1" applyAlignment="1"/>
    <xf numFmtId="176" fontId="16" fillId="0" borderId="0" xfId="0" applyNumberFormat="1" applyFont="1" applyAlignment="1"/>
    <xf numFmtId="176" fontId="16" fillId="0" borderId="0" xfId="0" applyNumberFormat="1" applyFont="1" applyBorder="1" applyAlignment="1"/>
    <xf numFmtId="0" fontId="0" fillId="0" borderId="0" xfId="0" applyFont="1" applyAlignment="1"/>
    <xf numFmtId="9" fontId="16" fillId="0" borderId="0" xfId="2" applyFont="1" applyAlignment="1"/>
    <xf numFmtId="0" fontId="16" fillId="0" borderId="0" xfId="0" applyFont="1" applyFill="1" applyAlignment="1"/>
    <xf numFmtId="0" fontId="14" fillId="5" borderId="0" xfId="0" applyFont="1" applyFill="1" applyBorder="1" applyAlignment="1">
      <alignment horizontal="center" vertical="center"/>
    </xf>
    <xf numFmtId="0" fontId="16" fillId="0" borderId="0" xfId="0" applyFont="1" applyBorder="1" applyAlignment="1"/>
    <xf numFmtId="0" fontId="18" fillId="0" borderId="1" xfId="0" applyFont="1" applyBorder="1" applyAlignme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76" fontId="5" fillId="0" borderId="0" xfId="0" applyNumberFormat="1" applyFont="1" applyBorder="1" applyAlignment="1"/>
    <xf numFmtId="0" fontId="0" fillId="0" borderId="0" xfId="0" applyAlignment="1">
      <alignment horizontal="center"/>
    </xf>
    <xf numFmtId="0" fontId="9" fillId="0" borderId="74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26" fillId="0" borderId="75" xfId="0" applyFont="1" applyFill="1" applyBorder="1" applyAlignment="1">
      <alignment horizontal="center" vertical="center"/>
    </xf>
    <xf numFmtId="176" fontId="26" fillId="0" borderId="44" xfId="3" applyNumberFormat="1" applyFont="1" applyFill="1" applyBorder="1" applyAlignment="1">
      <alignment horizontal="center" vertical="center"/>
    </xf>
    <xf numFmtId="176" fontId="26" fillId="0" borderId="45" xfId="3" applyNumberFormat="1" applyFont="1" applyFill="1" applyBorder="1" applyAlignment="1">
      <alignment horizontal="center" vertical="center"/>
    </xf>
    <xf numFmtId="176" fontId="26" fillId="0" borderId="47" xfId="3" applyNumberFormat="1" applyFont="1" applyFill="1" applyBorder="1" applyAlignment="1">
      <alignment horizontal="center" vertical="center"/>
    </xf>
    <xf numFmtId="176" fontId="26" fillId="0" borderId="47" xfId="3" applyNumberFormat="1" applyFont="1" applyBorder="1" applyAlignment="1">
      <alignment horizontal="center" vertical="center"/>
    </xf>
    <xf numFmtId="176" fontId="26" fillId="3" borderId="48" xfId="0" applyNumberFormat="1" applyFont="1" applyFill="1" applyBorder="1" applyAlignment="1">
      <alignment horizontal="center" vertical="center"/>
    </xf>
    <xf numFmtId="176" fontId="26" fillId="3" borderId="42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26" fillId="0" borderId="48" xfId="0" applyFont="1" applyFill="1" applyBorder="1" applyAlignment="1">
      <alignment horizontal="center" vertical="center"/>
    </xf>
    <xf numFmtId="0" fontId="26" fillId="0" borderId="44" xfId="0" applyFont="1" applyFill="1" applyBorder="1" applyAlignment="1">
      <alignment horizontal="center" vertical="center" wrapText="1"/>
    </xf>
    <xf numFmtId="0" fontId="26" fillId="0" borderId="76" xfId="0" applyFont="1" applyFill="1" applyBorder="1" applyAlignment="1">
      <alignment horizontal="center" vertical="center"/>
    </xf>
    <xf numFmtId="0" fontId="26" fillId="0" borderId="49" xfId="0" applyFont="1" applyFill="1" applyBorder="1" applyAlignment="1">
      <alignment horizontal="center" vertical="center" wrapText="1"/>
    </xf>
    <xf numFmtId="0" fontId="26" fillId="0" borderId="50" xfId="0" applyFont="1" applyFill="1" applyBorder="1" applyAlignment="1">
      <alignment horizontal="center" vertical="center"/>
    </xf>
    <xf numFmtId="0" fontId="26" fillId="0" borderId="51" xfId="0" applyFont="1" applyFill="1" applyBorder="1" applyAlignment="1">
      <alignment horizontal="center" vertical="center" wrapText="1"/>
    </xf>
    <xf numFmtId="176" fontId="26" fillId="7" borderId="41" xfId="0" applyNumberFormat="1" applyFont="1" applyFill="1" applyBorder="1" applyAlignment="1">
      <alignment horizontal="center" vertical="center"/>
    </xf>
    <xf numFmtId="176" fontId="26" fillId="0" borderId="44" xfId="3" applyNumberFormat="1" applyFont="1" applyBorder="1" applyAlignment="1">
      <alignment horizontal="center" vertical="center"/>
    </xf>
    <xf numFmtId="176" fontId="26" fillId="0" borderId="45" xfId="3" applyNumberFormat="1" applyFont="1" applyBorder="1" applyAlignment="1">
      <alignment horizontal="center" vertical="center"/>
    </xf>
    <xf numFmtId="176" fontId="26" fillId="3" borderId="41" xfId="0" applyNumberFormat="1" applyFont="1" applyFill="1" applyBorder="1" applyAlignment="1">
      <alignment horizontal="center" vertical="center"/>
    </xf>
    <xf numFmtId="0" fontId="26" fillId="0" borderId="44" xfId="0" applyFont="1" applyFill="1" applyBorder="1" applyAlignment="1">
      <alignment horizontal="center" vertical="center"/>
    </xf>
    <xf numFmtId="0" fontId="26" fillId="0" borderId="52" xfId="0" applyFont="1" applyFill="1" applyBorder="1" applyAlignment="1">
      <alignment horizontal="center" vertical="center" wrapText="1"/>
    </xf>
    <xf numFmtId="0" fontId="28" fillId="0" borderId="44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/>
    </xf>
    <xf numFmtId="176" fontId="26" fillId="3" borderId="44" xfId="0" applyNumberFormat="1" applyFont="1" applyFill="1" applyBorder="1" applyAlignment="1">
      <alignment horizontal="center" vertical="center" shrinkToFit="1"/>
    </xf>
    <xf numFmtId="176" fontId="26" fillId="3" borderId="45" xfId="0" applyNumberFormat="1" applyFont="1" applyFill="1" applyBorder="1" applyAlignment="1">
      <alignment horizontal="center" vertical="center" shrinkToFit="1"/>
    </xf>
    <xf numFmtId="176" fontId="29" fillId="3" borderId="48" xfId="0" applyNumberFormat="1" applyFont="1" applyFill="1" applyBorder="1" applyAlignment="1">
      <alignment horizontal="center" vertical="center" shrinkToFit="1"/>
    </xf>
    <xf numFmtId="176" fontId="26" fillId="0" borderId="53" xfId="0" applyNumberFormat="1" applyFont="1" applyFill="1" applyBorder="1" applyAlignment="1">
      <alignment horizontal="center" vertical="center" shrinkToFit="1"/>
    </xf>
    <xf numFmtId="176" fontId="26" fillId="0" borderId="51" xfId="3" applyNumberFormat="1" applyFont="1" applyFill="1" applyBorder="1" applyAlignment="1">
      <alignment horizontal="center" vertical="center"/>
    </xf>
    <xf numFmtId="176" fontId="26" fillId="0" borderId="56" xfId="3" applyNumberFormat="1" applyFont="1" applyFill="1" applyBorder="1" applyAlignment="1">
      <alignment horizontal="center" vertical="center"/>
    </xf>
    <xf numFmtId="176" fontId="26" fillId="0" borderId="55" xfId="3" applyNumberFormat="1" applyFont="1" applyFill="1" applyBorder="1" applyAlignment="1">
      <alignment horizontal="center" vertical="center"/>
    </xf>
    <xf numFmtId="176" fontId="26" fillId="0" borderId="55" xfId="3" applyNumberFormat="1" applyFont="1" applyBorder="1" applyAlignment="1">
      <alignment horizontal="center" vertical="center"/>
    </xf>
    <xf numFmtId="176" fontId="26" fillId="3" borderId="50" xfId="0" applyNumberFormat="1" applyFont="1" applyFill="1" applyBorder="1" applyAlignment="1">
      <alignment horizontal="center" vertical="center"/>
    </xf>
    <xf numFmtId="176" fontId="26" fillId="3" borderId="53" xfId="0" applyNumberFormat="1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horizontal="center" vertical="center" wrapText="1"/>
    </xf>
    <xf numFmtId="0" fontId="26" fillId="0" borderId="69" xfId="0" applyFont="1" applyFill="1" applyBorder="1" applyAlignment="1">
      <alignment horizontal="center" vertical="center"/>
    </xf>
    <xf numFmtId="0" fontId="26" fillId="0" borderId="78" xfId="0" applyFont="1" applyFill="1" applyBorder="1" applyAlignment="1">
      <alignment horizontal="center" vertical="center"/>
    </xf>
    <xf numFmtId="0" fontId="30" fillId="0" borderId="51" xfId="0" applyFont="1" applyFill="1" applyBorder="1" applyAlignment="1">
      <alignment horizontal="center" vertical="center" wrapText="1"/>
    </xf>
    <xf numFmtId="176" fontId="26" fillId="7" borderId="57" xfId="0" applyNumberFormat="1" applyFont="1" applyFill="1" applyBorder="1" applyAlignment="1">
      <alignment horizontal="center" vertical="center"/>
    </xf>
    <xf numFmtId="176" fontId="26" fillId="0" borderId="51" xfId="3" applyNumberFormat="1" applyFont="1" applyBorder="1" applyAlignment="1">
      <alignment horizontal="center" vertical="center"/>
    </xf>
    <xf numFmtId="176" fontId="26" fillId="0" borderId="56" xfId="3" applyNumberFormat="1" applyFont="1" applyBorder="1" applyAlignment="1">
      <alignment horizontal="center" vertical="center"/>
    </xf>
    <xf numFmtId="176" fontId="26" fillId="3" borderId="57" xfId="0" applyNumberFormat="1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/>
    </xf>
    <xf numFmtId="176" fontId="26" fillId="3" borderId="51" xfId="0" applyNumberFormat="1" applyFont="1" applyFill="1" applyBorder="1" applyAlignment="1">
      <alignment horizontal="center" vertical="center" shrinkToFit="1"/>
    </xf>
    <xf numFmtId="176" fontId="26" fillId="3" borderId="56" xfId="0" applyNumberFormat="1" applyFont="1" applyFill="1" applyBorder="1" applyAlignment="1">
      <alignment horizontal="center" vertical="center" shrinkToFit="1"/>
    </xf>
    <xf numFmtId="176" fontId="29" fillId="3" borderId="50" xfId="0" applyNumberFormat="1" applyFont="1" applyFill="1" applyBorder="1" applyAlignment="1">
      <alignment horizontal="center" vertical="center" shrinkToFit="1"/>
    </xf>
    <xf numFmtId="0" fontId="26" fillId="0" borderId="55" xfId="0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horizontal="center" vertical="center"/>
    </xf>
    <xf numFmtId="0" fontId="26" fillId="0" borderId="77" xfId="0" applyFont="1" applyFill="1" applyBorder="1" applyAlignment="1">
      <alignment horizontal="center" vertical="center"/>
    </xf>
    <xf numFmtId="0" fontId="26" fillId="0" borderId="51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 wrapText="1"/>
    </xf>
    <xf numFmtId="176" fontId="26" fillId="3" borderId="60" xfId="0" applyNumberFormat="1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31" fillId="0" borderId="51" xfId="0" applyFont="1" applyFill="1" applyBorder="1" applyAlignment="1">
      <alignment horizontal="center" vertical="center" wrapText="1"/>
    </xf>
    <xf numFmtId="0" fontId="26" fillId="0" borderId="62" xfId="0" applyFont="1" applyFill="1" applyBorder="1" applyAlignment="1">
      <alignment horizontal="center" vertical="center" wrapText="1"/>
    </xf>
    <xf numFmtId="0" fontId="34" fillId="0" borderId="51" xfId="0" applyFont="1" applyFill="1" applyBorder="1" applyAlignment="1">
      <alignment horizontal="center" vertical="center" wrapText="1"/>
    </xf>
    <xf numFmtId="0" fontId="27" fillId="0" borderId="51" xfId="0" applyFont="1" applyFill="1" applyBorder="1" applyAlignment="1">
      <alignment horizontal="center" vertical="center" wrapText="1"/>
    </xf>
    <xf numFmtId="0" fontId="32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35" fillId="0" borderId="51" xfId="0" applyFont="1" applyFill="1" applyBorder="1" applyAlignment="1">
      <alignment horizontal="center" vertical="center" wrapText="1"/>
    </xf>
    <xf numFmtId="176" fontId="26" fillId="3" borderId="63" xfId="0" applyNumberFormat="1" applyFont="1" applyFill="1" applyBorder="1" applyAlignment="1">
      <alignment horizontal="center" vertical="center"/>
    </xf>
    <xf numFmtId="0" fontId="28" fillId="0" borderId="51" xfId="0" applyFont="1" applyFill="1" applyBorder="1" applyAlignment="1">
      <alignment horizontal="center" vertical="center"/>
    </xf>
    <xf numFmtId="0" fontId="33" fillId="0" borderId="51" xfId="0" applyFont="1" applyFill="1" applyBorder="1" applyAlignment="1">
      <alignment horizontal="center" vertical="center" wrapText="1"/>
    </xf>
    <xf numFmtId="176" fontId="29" fillId="6" borderId="50" xfId="0" applyNumberFormat="1" applyFont="1" applyFill="1" applyBorder="1" applyAlignment="1">
      <alignment horizontal="center" vertical="center" shrinkToFit="1"/>
    </xf>
    <xf numFmtId="176" fontId="26" fillId="9" borderId="53" xfId="0" applyNumberFormat="1" applyFont="1" applyFill="1" applyBorder="1" applyAlignment="1">
      <alignment horizontal="center" vertical="center" shrinkToFit="1"/>
    </xf>
    <xf numFmtId="0" fontId="37" fillId="0" borderId="51" xfId="0" applyFont="1" applyFill="1" applyBorder="1" applyAlignment="1">
      <alignment horizontal="center" vertical="center" wrapText="1"/>
    </xf>
    <xf numFmtId="0" fontId="26" fillId="0" borderId="58" xfId="0" applyFont="1" applyFill="1" applyBorder="1" applyAlignment="1">
      <alignment horizontal="center" vertical="center"/>
    </xf>
    <xf numFmtId="177" fontId="26" fillId="0" borderId="51" xfId="0" applyNumberFormat="1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36" fillId="0" borderId="51" xfId="0" applyFont="1" applyFill="1" applyBorder="1" applyAlignment="1">
      <alignment horizontal="center" vertical="center" wrapText="1"/>
    </xf>
    <xf numFmtId="0" fontId="26" fillId="0" borderId="71" xfId="0" applyFont="1" applyFill="1" applyBorder="1" applyAlignment="1">
      <alignment horizontal="center" vertical="center"/>
    </xf>
    <xf numFmtId="176" fontId="26" fillId="6" borderId="53" xfId="0" applyNumberFormat="1" applyFont="1" applyFill="1" applyBorder="1" applyAlignment="1">
      <alignment horizontal="center" vertical="center"/>
    </xf>
    <xf numFmtId="0" fontId="26" fillId="0" borderId="64" xfId="0" applyFont="1" applyFill="1" applyBorder="1" applyAlignment="1">
      <alignment horizontal="center" vertical="center"/>
    </xf>
    <xf numFmtId="176" fontId="26" fillId="0" borderId="61" xfId="3" applyNumberFormat="1" applyFont="1" applyBorder="1" applyAlignment="1">
      <alignment horizontal="center" vertical="center"/>
    </xf>
    <xf numFmtId="176" fontId="26" fillId="0" borderId="65" xfId="3" applyNumberFormat="1" applyFont="1" applyBorder="1" applyAlignment="1">
      <alignment horizontal="center" vertical="center"/>
    </xf>
    <xf numFmtId="176" fontId="26" fillId="0" borderId="64" xfId="3" applyNumberFormat="1" applyFont="1" applyBorder="1" applyAlignment="1">
      <alignment horizontal="center" vertical="center"/>
    </xf>
    <xf numFmtId="0" fontId="26" fillId="0" borderId="66" xfId="0" applyFont="1" applyFill="1" applyBorder="1" applyAlignment="1">
      <alignment horizontal="center" vertical="center" wrapText="1"/>
    </xf>
    <xf numFmtId="0" fontId="26" fillId="0" borderId="67" xfId="0" applyFont="1" applyFill="1" applyBorder="1" applyAlignment="1">
      <alignment horizontal="center" vertical="center" wrapText="1"/>
    </xf>
    <xf numFmtId="0" fontId="41" fillId="0" borderId="61" xfId="0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/>
    </xf>
    <xf numFmtId="0" fontId="26" fillId="0" borderId="68" xfId="0" applyFont="1" applyFill="1" applyBorder="1" applyAlignment="1">
      <alignment horizontal="center" vertical="center"/>
    </xf>
    <xf numFmtId="0" fontId="28" fillId="0" borderId="61" xfId="0" applyFont="1" applyFill="1" applyBorder="1" applyAlignment="1">
      <alignment horizontal="center" vertical="center"/>
    </xf>
    <xf numFmtId="176" fontId="29" fillId="3" borderId="69" xfId="0" applyNumberFormat="1" applyFont="1" applyFill="1" applyBorder="1" applyAlignment="1">
      <alignment horizontal="center" vertical="center" shrinkToFit="1"/>
    </xf>
    <xf numFmtId="0" fontId="26" fillId="0" borderId="35" xfId="0" applyFont="1" applyFill="1" applyBorder="1" applyAlignment="1">
      <alignment horizontal="center" vertical="center"/>
    </xf>
    <xf numFmtId="176" fontId="26" fillId="0" borderId="36" xfId="3" applyNumberFormat="1" applyFont="1" applyBorder="1" applyAlignment="1">
      <alignment horizontal="center" vertical="center"/>
    </xf>
    <xf numFmtId="176" fontId="26" fillId="0" borderId="37" xfId="3" applyNumberFormat="1" applyFont="1" applyBorder="1" applyAlignment="1">
      <alignment horizontal="center" vertical="center"/>
    </xf>
    <xf numFmtId="176" fontId="26" fillId="0" borderId="35" xfId="3" applyNumberFormat="1" applyFont="1" applyBorder="1" applyAlignment="1">
      <alignment horizontal="center" vertical="center"/>
    </xf>
    <xf numFmtId="176" fontId="26" fillId="3" borderId="38" xfId="0" applyNumberFormat="1" applyFont="1" applyFill="1" applyBorder="1" applyAlignment="1">
      <alignment horizontal="center" vertical="center"/>
    </xf>
    <xf numFmtId="176" fontId="26" fillId="3" borderId="39" xfId="0" applyNumberFormat="1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center" vertical="center"/>
    </xf>
    <xf numFmtId="0" fontId="26" fillId="5" borderId="36" xfId="0" applyFont="1" applyFill="1" applyBorder="1" applyAlignment="1">
      <alignment horizontal="center" vertical="center" wrapText="1"/>
    </xf>
    <xf numFmtId="0" fontId="26" fillId="0" borderId="40" xfId="0" applyFont="1" applyFill="1" applyBorder="1" applyAlignment="1">
      <alignment horizontal="center" vertical="center" wrapText="1"/>
    </xf>
    <xf numFmtId="0" fontId="26" fillId="0" borderId="79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6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76" fontId="26" fillId="7" borderId="70" xfId="0" applyNumberFormat="1" applyFont="1" applyFill="1" applyBorder="1" applyAlignment="1">
      <alignment horizontal="center" vertical="center"/>
    </xf>
    <xf numFmtId="0" fontId="26" fillId="0" borderId="36" xfId="0" applyFont="1" applyFill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/>
    </xf>
    <xf numFmtId="0" fontId="42" fillId="0" borderId="36" xfId="0" applyFont="1" applyFill="1" applyBorder="1" applyAlignment="1">
      <alignment horizontal="center" vertical="center"/>
    </xf>
    <xf numFmtId="176" fontId="26" fillId="3" borderId="36" xfId="0" applyNumberFormat="1" applyFont="1" applyFill="1" applyBorder="1" applyAlignment="1">
      <alignment horizontal="center" vertical="center" shrinkToFit="1"/>
    </xf>
    <xf numFmtId="176" fontId="26" fillId="3" borderId="37" xfId="0" applyNumberFormat="1" applyFont="1" applyFill="1" applyBorder="1" applyAlignment="1">
      <alignment horizontal="center" vertical="center" shrinkToFit="1"/>
    </xf>
    <xf numFmtId="176" fontId="29" fillId="3" borderId="38" xfId="0" applyNumberFormat="1" applyFont="1" applyFill="1" applyBorder="1" applyAlignment="1">
      <alignment horizontal="center" vertical="center" shrinkToFit="1"/>
    </xf>
    <xf numFmtId="176" fontId="26" fillId="0" borderId="39" xfId="0" applyNumberFormat="1" applyFont="1" applyFill="1" applyBorder="1" applyAlignment="1">
      <alignment horizontal="center" vertical="center" shrinkToFit="1"/>
    </xf>
    <xf numFmtId="176" fontId="22" fillId="3" borderId="36" xfId="0" applyNumberFormat="1" applyFont="1" applyFill="1" applyBorder="1" applyAlignment="1">
      <alignment horizontal="center" vertical="center" shrinkToFit="1"/>
    </xf>
    <xf numFmtId="176" fontId="22" fillId="3" borderId="37" xfId="0" applyNumberFormat="1" applyFont="1" applyFill="1" applyBorder="1" applyAlignment="1">
      <alignment horizontal="center" vertical="center" shrinkToFit="1"/>
    </xf>
    <xf numFmtId="176" fontId="22" fillId="3" borderId="38" xfId="0" applyNumberFormat="1" applyFont="1" applyFill="1" applyBorder="1" applyAlignment="1">
      <alignment horizontal="center" vertical="center" shrinkToFit="1"/>
    </xf>
    <xf numFmtId="176" fontId="22" fillId="3" borderId="39" xfId="0" applyNumberFormat="1" applyFont="1" applyFill="1" applyBorder="1" applyAlignment="1">
      <alignment horizontal="center" vertical="center" shrinkToFit="1"/>
    </xf>
    <xf numFmtId="0" fontId="22" fillId="3" borderId="34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22" fillId="3" borderId="36" xfId="0" applyFont="1" applyFill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 vertical="center"/>
    </xf>
    <xf numFmtId="176" fontId="22" fillId="7" borderId="41" xfId="0" applyNumberFormat="1" applyFont="1" applyFill="1" applyBorder="1" applyAlignment="1">
      <alignment horizontal="center" vertical="center"/>
    </xf>
    <xf numFmtId="176" fontId="22" fillId="3" borderId="34" xfId="0" applyNumberFormat="1" applyFont="1" applyFill="1" applyBorder="1" applyAlignment="1">
      <alignment horizontal="center" vertical="center"/>
    </xf>
    <xf numFmtId="176" fontId="22" fillId="6" borderId="37" xfId="0" applyNumberFormat="1" applyFont="1" applyFill="1" applyBorder="1" applyAlignment="1">
      <alignment horizontal="center" vertical="center"/>
    </xf>
    <xf numFmtId="176" fontId="22" fillId="3" borderId="42" xfId="0" applyNumberFormat="1" applyFont="1" applyFill="1" applyBorder="1" applyAlignment="1">
      <alignment horizontal="center" vertical="center"/>
    </xf>
    <xf numFmtId="0" fontId="22" fillId="3" borderId="43" xfId="0" applyFont="1" applyFill="1" applyBorder="1" applyAlignment="1">
      <alignment horizontal="center" vertical="center"/>
    </xf>
    <xf numFmtId="176" fontId="22" fillId="3" borderId="44" xfId="0" applyNumberFormat="1" applyFont="1" applyFill="1" applyBorder="1" applyAlignment="1">
      <alignment horizontal="center" vertical="center" shrinkToFit="1"/>
    </xf>
    <xf numFmtId="176" fontId="22" fillId="3" borderId="45" xfId="0" applyNumberFormat="1" applyFont="1" applyFill="1" applyBorder="1" applyAlignment="1">
      <alignment horizontal="center" vertical="center" shrinkToFit="1"/>
    </xf>
    <xf numFmtId="176" fontId="22" fillId="3" borderId="38" xfId="0" applyNumberFormat="1" applyFont="1" applyFill="1" applyBorder="1" applyAlignment="1">
      <alignment horizontal="center" vertical="center"/>
    </xf>
    <xf numFmtId="176" fontId="22" fillId="3" borderId="39" xfId="0" applyNumberFormat="1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 wrapText="1"/>
    </xf>
    <xf numFmtId="0" fontId="43" fillId="0" borderId="5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6" fillId="0" borderId="72" xfId="0" applyFont="1" applyFill="1" applyBorder="1" applyAlignment="1">
      <alignment horizontal="center" vertical="center" wrapText="1"/>
    </xf>
    <xf numFmtId="0" fontId="40" fillId="0" borderId="59" xfId="0" applyFont="1" applyFill="1" applyBorder="1" applyAlignment="1">
      <alignment horizontal="center" vertical="center"/>
    </xf>
    <xf numFmtId="0" fontId="27" fillId="0" borderId="51" xfId="0" applyFont="1" applyFill="1" applyBorder="1" applyAlignment="1">
      <alignment horizontal="center" vertical="center"/>
    </xf>
    <xf numFmtId="176" fontId="26" fillId="6" borderId="50" xfId="0" applyNumberFormat="1" applyFont="1" applyFill="1" applyBorder="1" applyAlignment="1">
      <alignment horizontal="center" vertical="center"/>
    </xf>
    <xf numFmtId="176" fontId="26" fillId="6" borderId="51" xfId="0" applyNumberFormat="1" applyFont="1" applyFill="1" applyBorder="1" applyAlignment="1">
      <alignment horizontal="center" vertical="center" shrinkToFit="1"/>
    </xf>
    <xf numFmtId="176" fontId="26" fillId="6" borderId="56" xfId="0" applyNumberFormat="1" applyFont="1" applyFill="1" applyBorder="1" applyAlignment="1">
      <alignment horizontal="center" vertical="center" shrinkToFit="1"/>
    </xf>
    <xf numFmtId="176" fontId="26" fillId="0" borderId="61" xfId="3" applyNumberFormat="1" applyFont="1" applyFill="1" applyBorder="1" applyAlignment="1">
      <alignment horizontal="center" vertical="center"/>
    </xf>
    <xf numFmtId="176" fontId="26" fillId="0" borderId="65" xfId="3" applyNumberFormat="1" applyFont="1" applyFill="1" applyBorder="1" applyAlignment="1">
      <alignment horizontal="center" vertical="center"/>
    </xf>
    <xf numFmtId="176" fontId="26" fillId="0" borderId="64" xfId="3" applyNumberFormat="1" applyFont="1" applyFill="1" applyBorder="1" applyAlignment="1">
      <alignment horizontal="center" vertical="center"/>
    </xf>
    <xf numFmtId="0" fontId="42" fillId="0" borderId="61" xfId="0" applyFont="1" applyFill="1" applyBorder="1" applyAlignment="1">
      <alignment horizontal="center" vertical="center"/>
    </xf>
    <xf numFmtId="0" fontId="36" fillId="0" borderId="51" xfId="0" applyFont="1" applyFill="1" applyBorder="1" applyAlignment="1">
      <alignment horizontal="center" vertical="center"/>
    </xf>
    <xf numFmtId="0" fontId="31" fillId="0" borderId="51" xfId="0" applyFont="1" applyFill="1" applyBorder="1" applyAlignment="1">
      <alignment horizontal="center" vertical="center"/>
    </xf>
    <xf numFmtId="0" fontId="30" fillId="0" borderId="51" xfId="0" applyFont="1" applyFill="1" applyBorder="1" applyAlignment="1">
      <alignment horizontal="center" vertical="center"/>
    </xf>
    <xf numFmtId="0" fontId="36" fillId="0" borderId="58" xfId="0" applyFont="1" applyFill="1" applyBorder="1" applyAlignment="1">
      <alignment horizontal="center" vertical="center"/>
    </xf>
    <xf numFmtId="0" fontId="38" fillId="0" borderId="51" xfId="0" applyFont="1" applyFill="1" applyBorder="1" applyAlignment="1">
      <alignment horizontal="center" vertical="center"/>
    </xf>
    <xf numFmtId="0" fontId="39" fillId="0" borderId="51" xfId="0" applyFont="1" applyFill="1" applyBorder="1" applyAlignment="1">
      <alignment horizontal="center" vertical="center" wrapText="1"/>
    </xf>
    <xf numFmtId="0" fontId="39" fillId="0" borderId="61" xfId="0" applyFont="1" applyFill="1" applyBorder="1" applyAlignment="1">
      <alignment horizontal="center" vertical="center" wrapText="1"/>
    </xf>
    <xf numFmtId="176" fontId="29" fillId="6" borderId="69" xfId="0" applyNumberFormat="1" applyFont="1" applyFill="1" applyBorder="1" applyAlignment="1">
      <alignment horizontal="center" vertical="center" shrinkToFit="1"/>
    </xf>
    <xf numFmtId="0" fontId="22" fillId="3" borderId="34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2" borderId="2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 shrinkToFit="1"/>
    </xf>
    <xf numFmtId="0" fontId="22" fillId="2" borderId="21" xfId="0" applyFont="1" applyFill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  <xf numFmtId="0" fontId="19" fillId="8" borderId="73" xfId="0" applyFont="1" applyFill="1" applyBorder="1" applyAlignment="1">
      <alignment horizontal="center" vertical="center" wrapText="1"/>
    </xf>
    <xf numFmtId="0" fontId="19" fillId="8" borderId="74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 shrinkToFit="1"/>
    </xf>
    <xf numFmtId="0" fontId="22" fillId="4" borderId="21" xfId="0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 wrapText="1" shrinkToFit="1"/>
    </xf>
    <xf numFmtId="0" fontId="22" fillId="2" borderId="21" xfId="0" applyFont="1" applyFill="1" applyBorder="1" applyAlignment="1">
      <alignment horizontal="center" vertical="center" wrapText="1" shrinkToFit="1"/>
    </xf>
    <xf numFmtId="176" fontId="26" fillId="10" borderId="53" xfId="0" applyNumberFormat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_2007. 4. 30정원(참고용)_학교별정현원현황" xfId="3" xr:uid="{00000000-0005-0000-0000-000003000000}"/>
  </cellStyles>
  <dxfs count="1">
    <dxf>
      <font>
        <b/>
        <i val="0"/>
        <color auto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FF99"/>
      <color rgb="FFCCFFFF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48"/>
  <sheetViews>
    <sheetView tabSelected="1" zoomScale="70" zoomScaleNormal="70" workbookViewId="0">
      <pane xSplit="8" ySplit="6" topLeftCell="Z9" activePane="bottomRight" state="frozen"/>
      <selection pane="topRight" activeCell="I1" sqref="I1"/>
      <selection pane="bottomLeft" activeCell="A7" sqref="A7"/>
      <selection pane="bottomRight" activeCell="AD3" sqref="AD3:AI3"/>
    </sheetView>
  </sheetViews>
  <sheetFormatPr defaultRowHeight="19.5" x14ac:dyDescent="0.3"/>
  <cols>
    <col min="1" max="1" width="4.25" style="2" bestFit="1" customWidth="1"/>
    <col min="2" max="2" width="15.5" style="2" customWidth="1"/>
    <col min="3" max="8" width="7.125" style="2" customWidth="1"/>
    <col min="9" max="9" width="23" style="20" customWidth="1"/>
    <col min="10" max="10" width="5.375" style="21" customWidth="1"/>
    <col min="11" max="11" width="28.875" style="2" customWidth="1"/>
    <col min="12" max="12" width="5.375" style="21" customWidth="1"/>
    <col min="13" max="13" width="21.625" style="2" customWidth="1"/>
    <col min="14" max="14" width="5.375" style="21" customWidth="1"/>
    <col min="15" max="15" width="18.5" style="2" customWidth="1"/>
    <col min="16" max="16" width="6.25" style="21" customWidth="1"/>
    <col min="17" max="17" width="22.875" style="2" customWidth="1"/>
    <col min="18" max="18" width="5.375" style="21" customWidth="1"/>
    <col min="19" max="19" width="18.875" style="2" customWidth="1"/>
    <col min="20" max="20" width="5.375" style="21" customWidth="1"/>
    <col min="21" max="21" width="18" style="2" customWidth="1"/>
    <col min="22" max="22" width="5.375" style="21" customWidth="1"/>
    <col min="23" max="23" width="24.5" style="2" customWidth="1"/>
    <col min="24" max="24" width="5.375" style="21" customWidth="1"/>
    <col min="25" max="25" width="31.75" style="2" customWidth="1"/>
    <col min="26" max="26" width="5.375" style="21" customWidth="1"/>
    <col min="27" max="27" width="30.875" style="2" customWidth="1"/>
    <col min="28" max="28" width="5.375" style="21" customWidth="1"/>
    <col min="29" max="29" width="7.125" style="2" customWidth="1"/>
    <col min="30" max="30" width="9.25" style="21" bestFit="1" customWidth="1"/>
    <col min="31" max="32" width="7.125" style="21" customWidth="1"/>
    <col min="33" max="33" width="10.125" style="21" customWidth="1"/>
    <col min="34" max="34" width="7.125" style="21" customWidth="1"/>
    <col min="35" max="35" width="9.25" style="21" bestFit="1" customWidth="1"/>
    <col min="36" max="36" width="9.125" style="21" customWidth="1"/>
    <col min="37" max="37" width="29.125" style="2" customWidth="1"/>
    <col min="38" max="38" width="5.375" style="2" customWidth="1"/>
    <col min="39" max="39" width="34.25" style="2" customWidth="1"/>
    <col min="40" max="40" width="7.875" style="2" customWidth="1"/>
    <col min="41" max="41" width="23.25" style="2" customWidth="1"/>
    <col min="42" max="42" width="5.375" style="2" customWidth="1"/>
    <col min="43" max="43" width="21.375" style="2" customWidth="1"/>
    <col min="44" max="44" width="5.375" style="2" customWidth="1"/>
    <col min="45" max="45" width="19" style="2" customWidth="1"/>
    <col min="46" max="46" width="5.375" style="21" customWidth="1"/>
    <col min="47" max="47" width="20.75" style="2" customWidth="1"/>
    <col min="48" max="48" width="5.375" style="21" customWidth="1"/>
    <col min="49" max="49" width="24.875" style="20" customWidth="1"/>
    <col min="50" max="50" width="6.375" style="21" customWidth="1"/>
    <col min="51" max="51" width="14.375" style="20" customWidth="1"/>
    <col min="52" max="52" width="7.25" style="21" customWidth="1"/>
    <col min="53" max="53" width="6.375" style="21" customWidth="1"/>
    <col min="54" max="54" width="7.75" style="21" customWidth="1"/>
    <col min="55" max="55" width="7.125" style="21" customWidth="1"/>
    <col min="56" max="56" width="8.75" style="21" customWidth="1"/>
    <col min="57" max="57" width="24.875" style="1" customWidth="1"/>
    <col min="58" max="261" width="9" style="2"/>
    <col min="262" max="262" width="4.25" style="2" bestFit="1" customWidth="1"/>
    <col min="263" max="263" width="13.625" style="2" customWidth="1"/>
    <col min="264" max="267" width="7.125" style="2" customWidth="1"/>
    <col min="268" max="268" width="18" style="2" customWidth="1"/>
    <col min="269" max="269" width="5.375" style="2" customWidth="1"/>
    <col min="270" max="270" width="17.375" style="2" customWidth="1"/>
    <col min="271" max="271" width="5.375" style="2" customWidth="1"/>
    <col min="272" max="272" width="21.375" style="2" customWidth="1"/>
    <col min="273" max="273" width="5.375" style="2" customWidth="1"/>
    <col min="274" max="274" width="18.5" style="2" customWidth="1"/>
    <col min="275" max="275" width="6.25" style="2" customWidth="1"/>
    <col min="276" max="276" width="16.875" style="2" customWidth="1"/>
    <col min="277" max="277" width="5.375" style="2" customWidth="1"/>
    <col min="278" max="278" width="18.875" style="2" customWidth="1"/>
    <col min="279" max="279" width="5.375" style="2" customWidth="1"/>
    <col min="280" max="280" width="18" style="2" customWidth="1"/>
    <col min="281" max="281" width="5.375" style="2" customWidth="1"/>
    <col min="282" max="282" width="18.875" style="2" customWidth="1"/>
    <col min="283" max="283" width="5.375" style="2" customWidth="1"/>
    <col min="284" max="284" width="17.75" style="2" customWidth="1"/>
    <col min="285" max="285" width="5.375" style="2" customWidth="1"/>
    <col min="286" max="286" width="17.75" style="2" customWidth="1"/>
    <col min="287" max="287" width="5.375" style="2" customWidth="1"/>
    <col min="288" max="291" width="7.125" style="2" customWidth="1"/>
    <col min="292" max="292" width="9.125" style="2" customWidth="1"/>
    <col min="293" max="293" width="16.5" style="2" customWidth="1"/>
    <col min="294" max="294" width="5.375" style="2" customWidth="1"/>
    <col min="295" max="295" width="16.5" style="2" customWidth="1"/>
    <col min="296" max="296" width="5.375" style="2" customWidth="1"/>
    <col min="297" max="297" width="16.5" style="2" customWidth="1"/>
    <col min="298" max="298" width="5.375" style="2" customWidth="1"/>
    <col min="299" max="299" width="21.375" style="2" customWidth="1"/>
    <col min="300" max="300" width="5.375" style="2" customWidth="1"/>
    <col min="301" max="301" width="19" style="2" customWidth="1"/>
    <col min="302" max="302" width="5.375" style="2" customWidth="1"/>
    <col min="303" max="303" width="20.75" style="2" customWidth="1"/>
    <col min="304" max="304" width="5.375" style="2" customWidth="1"/>
    <col min="305" max="305" width="19.625" style="2" customWidth="1"/>
    <col min="306" max="306" width="6.375" style="2" customWidth="1"/>
    <col min="307" max="307" width="14.375" style="2" customWidth="1"/>
    <col min="308" max="308" width="5.375" style="2" customWidth="1"/>
    <col min="309" max="309" width="6.375" style="2" customWidth="1"/>
    <col min="310" max="310" width="7.75" style="2" customWidth="1"/>
    <col min="311" max="312" width="7.125" style="2" customWidth="1"/>
    <col min="313" max="313" width="10.875" style="2" customWidth="1"/>
    <col min="314" max="517" width="9" style="2"/>
    <col min="518" max="518" width="4.25" style="2" bestFit="1" customWidth="1"/>
    <col min="519" max="519" width="13.625" style="2" customWidth="1"/>
    <col min="520" max="523" width="7.125" style="2" customWidth="1"/>
    <col min="524" max="524" width="18" style="2" customWidth="1"/>
    <col min="525" max="525" width="5.375" style="2" customWidth="1"/>
    <col min="526" max="526" width="17.375" style="2" customWidth="1"/>
    <col min="527" max="527" width="5.375" style="2" customWidth="1"/>
    <col min="528" max="528" width="21.375" style="2" customWidth="1"/>
    <col min="529" max="529" width="5.375" style="2" customWidth="1"/>
    <col min="530" max="530" width="18.5" style="2" customWidth="1"/>
    <col min="531" max="531" width="6.25" style="2" customWidth="1"/>
    <col min="532" max="532" width="16.875" style="2" customWidth="1"/>
    <col min="533" max="533" width="5.375" style="2" customWidth="1"/>
    <col min="534" max="534" width="18.875" style="2" customWidth="1"/>
    <col min="535" max="535" width="5.375" style="2" customWidth="1"/>
    <col min="536" max="536" width="18" style="2" customWidth="1"/>
    <col min="537" max="537" width="5.375" style="2" customWidth="1"/>
    <col min="538" max="538" width="18.875" style="2" customWidth="1"/>
    <col min="539" max="539" width="5.375" style="2" customWidth="1"/>
    <col min="540" max="540" width="17.75" style="2" customWidth="1"/>
    <col min="541" max="541" width="5.375" style="2" customWidth="1"/>
    <col min="542" max="542" width="17.75" style="2" customWidth="1"/>
    <col min="543" max="543" width="5.375" style="2" customWidth="1"/>
    <col min="544" max="547" width="7.125" style="2" customWidth="1"/>
    <col min="548" max="548" width="9.125" style="2" customWidth="1"/>
    <col min="549" max="549" width="16.5" style="2" customWidth="1"/>
    <col min="550" max="550" width="5.375" style="2" customWidth="1"/>
    <col min="551" max="551" width="16.5" style="2" customWidth="1"/>
    <col min="552" max="552" width="5.375" style="2" customWidth="1"/>
    <col min="553" max="553" width="16.5" style="2" customWidth="1"/>
    <col min="554" max="554" width="5.375" style="2" customWidth="1"/>
    <col min="555" max="555" width="21.375" style="2" customWidth="1"/>
    <col min="556" max="556" width="5.375" style="2" customWidth="1"/>
    <col min="557" max="557" width="19" style="2" customWidth="1"/>
    <col min="558" max="558" width="5.375" style="2" customWidth="1"/>
    <col min="559" max="559" width="20.75" style="2" customWidth="1"/>
    <col min="560" max="560" width="5.375" style="2" customWidth="1"/>
    <col min="561" max="561" width="19.625" style="2" customWidth="1"/>
    <col min="562" max="562" width="6.375" style="2" customWidth="1"/>
    <col min="563" max="563" width="14.375" style="2" customWidth="1"/>
    <col min="564" max="564" width="5.375" style="2" customWidth="1"/>
    <col min="565" max="565" width="6.375" style="2" customWidth="1"/>
    <col min="566" max="566" width="7.75" style="2" customWidth="1"/>
    <col min="567" max="568" width="7.125" style="2" customWidth="1"/>
    <col min="569" max="569" width="10.875" style="2" customWidth="1"/>
    <col min="570" max="773" width="9" style="2"/>
    <col min="774" max="774" width="4.25" style="2" bestFit="1" customWidth="1"/>
    <col min="775" max="775" width="13.625" style="2" customWidth="1"/>
    <col min="776" max="779" width="7.125" style="2" customWidth="1"/>
    <col min="780" max="780" width="18" style="2" customWidth="1"/>
    <col min="781" max="781" width="5.375" style="2" customWidth="1"/>
    <col min="782" max="782" width="17.375" style="2" customWidth="1"/>
    <col min="783" max="783" width="5.375" style="2" customWidth="1"/>
    <col min="784" max="784" width="21.375" style="2" customWidth="1"/>
    <col min="785" max="785" width="5.375" style="2" customWidth="1"/>
    <col min="786" max="786" width="18.5" style="2" customWidth="1"/>
    <col min="787" max="787" width="6.25" style="2" customWidth="1"/>
    <col min="788" max="788" width="16.875" style="2" customWidth="1"/>
    <col min="789" max="789" width="5.375" style="2" customWidth="1"/>
    <col min="790" max="790" width="18.875" style="2" customWidth="1"/>
    <col min="791" max="791" width="5.375" style="2" customWidth="1"/>
    <col min="792" max="792" width="18" style="2" customWidth="1"/>
    <col min="793" max="793" width="5.375" style="2" customWidth="1"/>
    <col min="794" max="794" width="18.875" style="2" customWidth="1"/>
    <col min="795" max="795" width="5.375" style="2" customWidth="1"/>
    <col min="796" max="796" width="17.75" style="2" customWidth="1"/>
    <col min="797" max="797" width="5.375" style="2" customWidth="1"/>
    <col min="798" max="798" width="17.75" style="2" customWidth="1"/>
    <col min="799" max="799" width="5.375" style="2" customWidth="1"/>
    <col min="800" max="803" width="7.125" style="2" customWidth="1"/>
    <col min="804" max="804" width="9.125" style="2" customWidth="1"/>
    <col min="805" max="805" width="16.5" style="2" customWidth="1"/>
    <col min="806" max="806" width="5.375" style="2" customWidth="1"/>
    <col min="807" max="807" width="16.5" style="2" customWidth="1"/>
    <col min="808" max="808" width="5.375" style="2" customWidth="1"/>
    <col min="809" max="809" width="16.5" style="2" customWidth="1"/>
    <col min="810" max="810" width="5.375" style="2" customWidth="1"/>
    <col min="811" max="811" width="21.375" style="2" customWidth="1"/>
    <col min="812" max="812" width="5.375" style="2" customWidth="1"/>
    <col min="813" max="813" width="19" style="2" customWidth="1"/>
    <col min="814" max="814" width="5.375" style="2" customWidth="1"/>
    <col min="815" max="815" width="20.75" style="2" customWidth="1"/>
    <col min="816" max="816" width="5.375" style="2" customWidth="1"/>
    <col min="817" max="817" width="19.625" style="2" customWidth="1"/>
    <col min="818" max="818" width="6.375" style="2" customWidth="1"/>
    <col min="819" max="819" width="14.375" style="2" customWidth="1"/>
    <col min="820" max="820" width="5.375" style="2" customWidth="1"/>
    <col min="821" max="821" width="6.375" style="2" customWidth="1"/>
    <col min="822" max="822" width="7.75" style="2" customWidth="1"/>
    <col min="823" max="824" width="7.125" style="2" customWidth="1"/>
    <col min="825" max="825" width="10.875" style="2" customWidth="1"/>
    <col min="826" max="1029" width="9" style="2"/>
    <col min="1030" max="1030" width="4.25" style="2" bestFit="1" customWidth="1"/>
    <col min="1031" max="1031" width="13.625" style="2" customWidth="1"/>
    <col min="1032" max="1035" width="7.125" style="2" customWidth="1"/>
    <col min="1036" max="1036" width="18" style="2" customWidth="1"/>
    <col min="1037" max="1037" width="5.375" style="2" customWidth="1"/>
    <col min="1038" max="1038" width="17.375" style="2" customWidth="1"/>
    <col min="1039" max="1039" width="5.375" style="2" customWidth="1"/>
    <col min="1040" max="1040" width="21.375" style="2" customWidth="1"/>
    <col min="1041" max="1041" width="5.375" style="2" customWidth="1"/>
    <col min="1042" max="1042" width="18.5" style="2" customWidth="1"/>
    <col min="1043" max="1043" width="6.25" style="2" customWidth="1"/>
    <col min="1044" max="1044" width="16.875" style="2" customWidth="1"/>
    <col min="1045" max="1045" width="5.375" style="2" customWidth="1"/>
    <col min="1046" max="1046" width="18.875" style="2" customWidth="1"/>
    <col min="1047" max="1047" width="5.375" style="2" customWidth="1"/>
    <col min="1048" max="1048" width="18" style="2" customWidth="1"/>
    <col min="1049" max="1049" width="5.375" style="2" customWidth="1"/>
    <col min="1050" max="1050" width="18.875" style="2" customWidth="1"/>
    <col min="1051" max="1051" width="5.375" style="2" customWidth="1"/>
    <col min="1052" max="1052" width="17.75" style="2" customWidth="1"/>
    <col min="1053" max="1053" width="5.375" style="2" customWidth="1"/>
    <col min="1054" max="1054" width="17.75" style="2" customWidth="1"/>
    <col min="1055" max="1055" width="5.375" style="2" customWidth="1"/>
    <col min="1056" max="1059" width="7.125" style="2" customWidth="1"/>
    <col min="1060" max="1060" width="9.125" style="2" customWidth="1"/>
    <col min="1061" max="1061" width="16.5" style="2" customWidth="1"/>
    <col min="1062" max="1062" width="5.375" style="2" customWidth="1"/>
    <col min="1063" max="1063" width="16.5" style="2" customWidth="1"/>
    <col min="1064" max="1064" width="5.375" style="2" customWidth="1"/>
    <col min="1065" max="1065" width="16.5" style="2" customWidth="1"/>
    <col min="1066" max="1066" width="5.375" style="2" customWidth="1"/>
    <col min="1067" max="1067" width="21.375" style="2" customWidth="1"/>
    <col min="1068" max="1068" width="5.375" style="2" customWidth="1"/>
    <col min="1069" max="1069" width="19" style="2" customWidth="1"/>
    <col min="1070" max="1070" width="5.375" style="2" customWidth="1"/>
    <col min="1071" max="1071" width="20.75" style="2" customWidth="1"/>
    <col min="1072" max="1072" width="5.375" style="2" customWidth="1"/>
    <col min="1073" max="1073" width="19.625" style="2" customWidth="1"/>
    <col min="1074" max="1074" width="6.375" style="2" customWidth="1"/>
    <col min="1075" max="1075" width="14.375" style="2" customWidth="1"/>
    <col min="1076" max="1076" width="5.375" style="2" customWidth="1"/>
    <col min="1077" max="1077" width="6.375" style="2" customWidth="1"/>
    <col min="1078" max="1078" width="7.75" style="2" customWidth="1"/>
    <col min="1079" max="1080" width="7.125" style="2" customWidth="1"/>
    <col min="1081" max="1081" width="10.875" style="2" customWidth="1"/>
    <col min="1082" max="1285" width="9" style="2"/>
    <col min="1286" max="1286" width="4.25" style="2" bestFit="1" customWidth="1"/>
    <col min="1287" max="1287" width="13.625" style="2" customWidth="1"/>
    <col min="1288" max="1291" width="7.125" style="2" customWidth="1"/>
    <col min="1292" max="1292" width="18" style="2" customWidth="1"/>
    <col min="1293" max="1293" width="5.375" style="2" customWidth="1"/>
    <col min="1294" max="1294" width="17.375" style="2" customWidth="1"/>
    <col min="1295" max="1295" width="5.375" style="2" customWidth="1"/>
    <col min="1296" max="1296" width="21.375" style="2" customWidth="1"/>
    <col min="1297" max="1297" width="5.375" style="2" customWidth="1"/>
    <col min="1298" max="1298" width="18.5" style="2" customWidth="1"/>
    <col min="1299" max="1299" width="6.25" style="2" customWidth="1"/>
    <col min="1300" max="1300" width="16.875" style="2" customWidth="1"/>
    <col min="1301" max="1301" width="5.375" style="2" customWidth="1"/>
    <col min="1302" max="1302" width="18.875" style="2" customWidth="1"/>
    <col min="1303" max="1303" width="5.375" style="2" customWidth="1"/>
    <col min="1304" max="1304" width="18" style="2" customWidth="1"/>
    <col min="1305" max="1305" width="5.375" style="2" customWidth="1"/>
    <col min="1306" max="1306" width="18.875" style="2" customWidth="1"/>
    <col min="1307" max="1307" width="5.375" style="2" customWidth="1"/>
    <col min="1308" max="1308" width="17.75" style="2" customWidth="1"/>
    <col min="1309" max="1309" width="5.375" style="2" customWidth="1"/>
    <col min="1310" max="1310" width="17.75" style="2" customWidth="1"/>
    <col min="1311" max="1311" width="5.375" style="2" customWidth="1"/>
    <col min="1312" max="1315" width="7.125" style="2" customWidth="1"/>
    <col min="1316" max="1316" width="9.125" style="2" customWidth="1"/>
    <col min="1317" max="1317" width="16.5" style="2" customWidth="1"/>
    <col min="1318" max="1318" width="5.375" style="2" customWidth="1"/>
    <col min="1319" max="1319" width="16.5" style="2" customWidth="1"/>
    <col min="1320" max="1320" width="5.375" style="2" customWidth="1"/>
    <col min="1321" max="1321" width="16.5" style="2" customWidth="1"/>
    <col min="1322" max="1322" width="5.375" style="2" customWidth="1"/>
    <col min="1323" max="1323" width="21.375" style="2" customWidth="1"/>
    <col min="1324" max="1324" width="5.375" style="2" customWidth="1"/>
    <col min="1325" max="1325" width="19" style="2" customWidth="1"/>
    <col min="1326" max="1326" width="5.375" style="2" customWidth="1"/>
    <col min="1327" max="1327" width="20.75" style="2" customWidth="1"/>
    <col min="1328" max="1328" width="5.375" style="2" customWidth="1"/>
    <col min="1329" max="1329" width="19.625" style="2" customWidth="1"/>
    <col min="1330" max="1330" width="6.375" style="2" customWidth="1"/>
    <col min="1331" max="1331" width="14.375" style="2" customWidth="1"/>
    <col min="1332" max="1332" width="5.375" style="2" customWidth="1"/>
    <col min="1333" max="1333" width="6.375" style="2" customWidth="1"/>
    <col min="1334" max="1334" width="7.75" style="2" customWidth="1"/>
    <col min="1335" max="1336" width="7.125" style="2" customWidth="1"/>
    <col min="1337" max="1337" width="10.875" style="2" customWidth="1"/>
    <col min="1338" max="1541" width="9" style="2"/>
    <col min="1542" max="1542" width="4.25" style="2" bestFit="1" customWidth="1"/>
    <col min="1543" max="1543" width="13.625" style="2" customWidth="1"/>
    <col min="1544" max="1547" width="7.125" style="2" customWidth="1"/>
    <col min="1548" max="1548" width="18" style="2" customWidth="1"/>
    <col min="1549" max="1549" width="5.375" style="2" customWidth="1"/>
    <col min="1550" max="1550" width="17.375" style="2" customWidth="1"/>
    <col min="1551" max="1551" width="5.375" style="2" customWidth="1"/>
    <col min="1552" max="1552" width="21.375" style="2" customWidth="1"/>
    <col min="1553" max="1553" width="5.375" style="2" customWidth="1"/>
    <col min="1554" max="1554" width="18.5" style="2" customWidth="1"/>
    <col min="1555" max="1555" width="6.25" style="2" customWidth="1"/>
    <col min="1556" max="1556" width="16.875" style="2" customWidth="1"/>
    <col min="1557" max="1557" width="5.375" style="2" customWidth="1"/>
    <col min="1558" max="1558" width="18.875" style="2" customWidth="1"/>
    <col min="1559" max="1559" width="5.375" style="2" customWidth="1"/>
    <col min="1560" max="1560" width="18" style="2" customWidth="1"/>
    <col min="1561" max="1561" width="5.375" style="2" customWidth="1"/>
    <col min="1562" max="1562" width="18.875" style="2" customWidth="1"/>
    <col min="1563" max="1563" width="5.375" style="2" customWidth="1"/>
    <col min="1564" max="1564" width="17.75" style="2" customWidth="1"/>
    <col min="1565" max="1565" width="5.375" style="2" customWidth="1"/>
    <col min="1566" max="1566" width="17.75" style="2" customWidth="1"/>
    <col min="1567" max="1567" width="5.375" style="2" customWidth="1"/>
    <col min="1568" max="1571" width="7.125" style="2" customWidth="1"/>
    <col min="1572" max="1572" width="9.125" style="2" customWidth="1"/>
    <col min="1573" max="1573" width="16.5" style="2" customWidth="1"/>
    <col min="1574" max="1574" width="5.375" style="2" customWidth="1"/>
    <col min="1575" max="1575" width="16.5" style="2" customWidth="1"/>
    <col min="1576" max="1576" width="5.375" style="2" customWidth="1"/>
    <col min="1577" max="1577" width="16.5" style="2" customWidth="1"/>
    <col min="1578" max="1578" width="5.375" style="2" customWidth="1"/>
    <col min="1579" max="1579" width="21.375" style="2" customWidth="1"/>
    <col min="1580" max="1580" width="5.375" style="2" customWidth="1"/>
    <col min="1581" max="1581" width="19" style="2" customWidth="1"/>
    <col min="1582" max="1582" width="5.375" style="2" customWidth="1"/>
    <col min="1583" max="1583" width="20.75" style="2" customWidth="1"/>
    <col min="1584" max="1584" width="5.375" style="2" customWidth="1"/>
    <col min="1585" max="1585" width="19.625" style="2" customWidth="1"/>
    <col min="1586" max="1586" width="6.375" style="2" customWidth="1"/>
    <col min="1587" max="1587" width="14.375" style="2" customWidth="1"/>
    <col min="1588" max="1588" width="5.375" style="2" customWidth="1"/>
    <col min="1589" max="1589" width="6.375" style="2" customWidth="1"/>
    <col min="1590" max="1590" width="7.75" style="2" customWidth="1"/>
    <col min="1591" max="1592" width="7.125" style="2" customWidth="1"/>
    <col min="1593" max="1593" width="10.875" style="2" customWidth="1"/>
    <col min="1594" max="1797" width="9" style="2"/>
    <col min="1798" max="1798" width="4.25" style="2" bestFit="1" customWidth="1"/>
    <col min="1799" max="1799" width="13.625" style="2" customWidth="1"/>
    <col min="1800" max="1803" width="7.125" style="2" customWidth="1"/>
    <col min="1804" max="1804" width="18" style="2" customWidth="1"/>
    <col min="1805" max="1805" width="5.375" style="2" customWidth="1"/>
    <col min="1806" max="1806" width="17.375" style="2" customWidth="1"/>
    <col min="1807" max="1807" width="5.375" style="2" customWidth="1"/>
    <col min="1808" max="1808" width="21.375" style="2" customWidth="1"/>
    <col min="1809" max="1809" width="5.375" style="2" customWidth="1"/>
    <col min="1810" max="1810" width="18.5" style="2" customWidth="1"/>
    <col min="1811" max="1811" width="6.25" style="2" customWidth="1"/>
    <col min="1812" max="1812" width="16.875" style="2" customWidth="1"/>
    <col min="1813" max="1813" width="5.375" style="2" customWidth="1"/>
    <col min="1814" max="1814" width="18.875" style="2" customWidth="1"/>
    <col min="1815" max="1815" width="5.375" style="2" customWidth="1"/>
    <col min="1816" max="1816" width="18" style="2" customWidth="1"/>
    <col min="1817" max="1817" width="5.375" style="2" customWidth="1"/>
    <col min="1818" max="1818" width="18.875" style="2" customWidth="1"/>
    <col min="1819" max="1819" width="5.375" style="2" customWidth="1"/>
    <col min="1820" max="1820" width="17.75" style="2" customWidth="1"/>
    <col min="1821" max="1821" width="5.375" style="2" customWidth="1"/>
    <col min="1822" max="1822" width="17.75" style="2" customWidth="1"/>
    <col min="1823" max="1823" width="5.375" style="2" customWidth="1"/>
    <col min="1824" max="1827" width="7.125" style="2" customWidth="1"/>
    <col min="1828" max="1828" width="9.125" style="2" customWidth="1"/>
    <col min="1829" max="1829" width="16.5" style="2" customWidth="1"/>
    <col min="1830" max="1830" width="5.375" style="2" customWidth="1"/>
    <col min="1831" max="1831" width="16.5" style="2" customWidth="1"/>
    <col min="1832" max="1832" width="5.375" style="2" customWidth="1"/>
    <col min="1833" max="1833" width="16.5" style="2" customWidth="1"/>
    <col min="1834" max="1834" width="5.375" style="2" customWidth="1"/>
    <col min="1835" max="1835" width="21.375" style="2" customWidth="1"/>
    <col min="1836" max="1836" width="5.375" style="2" customWidth="1"/>
    <col min="1837" max="1837" width="19" style="2" customWidth="1"/>
    <col min="1838" max="1838" width="5.375" style="2" customWidth="1"/>
    <col min="1839" max="1839" width="20.75" style="2" customWidth="1"/>
    <col min="1840" max="1840" width="5.375" style="2" customWidth="1"/>
    <col min="1841" max="1841" width="19.625" style="2" customWidth="1"/>
    <col min="1842" max="1842" width="6.375" style="2" customWidth="1"/>
    <col min="1843" max="1843" width="14.375" style="2" customWidth="1"/>
    <col min="1844" max="1844" width="5.375" style="2" customWidth="1"/>
    <col min="1845" max="1845" width="6.375" style="2" customWidth="1"/>
    <col min="1846" max="1846" width="7.75" style="2" customWidth="1"/>
    <col min="1847" max="1848" width="7.125" style="2" customWidth="1"/>
    <col min="1849" max="1849" width="10.875" style="2" customWidth="1"/>
    <col min="1850" max="2053" width="9" style="2"/>
    <col min="2054" max="2054" width="4.25" style="2" bestFit="1" customWidth="1"/>
    <col min="2055" max="2055" width="13.625" style="2" customWidth="1"/>
    <col min="2056" max="2059" width="7.125" style="2" customWidth="1"/>
    <col min="2060" max="2060" width="18" style="2" customWidth="1"/>
    <col min="2061" max="2061" width="5.375" style="2" customWidth="1"/>
    <col min="2062" max="2062" width="17.375" style="2" customWidth="1"/>
    <col min="2063" max="2063" width="5.375" style="2" customWidth="1"/>
    <col min="2064" max="2064" width="21.375" style="2" customWidth="1"/>
    <col min="2065" max="2065" width="5.375" style="2" customWidth="1"/>
    <col min="2066" max="2066" width="18.5" style="2" customWidth="1"/>
    <col min="2067" max="2067" width="6.25" style="2" customWidth="1"/>
    <col min="2068" max="2068" width="16.875" style="2" customWidth="1"/>
    <col min="2069" max="2069" width="5.375" style="2" customWidth="1"/>
    <col min="2070" max="2070" width="18.875" style="2" customWidth="1"/>
    <col min="2071" max="2071" width="5.375" style="2" customWidth="1"/>
    <col min="2072" max="2072" width="18" style="2" customWidth="1"/>
    <col min="2073" max="2073" width="5.375" style="2" customWidth="1"/>
    <col min="2074" max="2074" width="18.875" style="2" customWidth="1"/>
    <col min="2075" max="2075" width="5.375" style="2" customWidth="1"/>
    <col min="2076" max="2076" width="17.75" style="2" customWidth="1"/>
    <col min="2077" max="2077" width="5.375" style="2" customWidth="1"/>
    <col min="2078" max="2078" width="17.75" style="2" customWidth="1"/>
    <col min="2079" max="2079" width="5.375" style="2" customWidth="1"/>
    <col min="2080" max="2083" width="7.125" style="2" customWidth="1"/>
    <col min="2084" max="2084" width="9.125" style="2" customWidth="1"/>
    <col min="2085" max="2085" width="16.5" style="2" customWidth="1"/>
    <col min="2086" max="2086" width="5.375" style="2" customWidth="1"/>
    <col min="2087" max="2087" width="16.5" style="2" customWidth="1"/>
    <col min="2088" max="2088" width="5.375" style="2" customWidth="1"/>
    <col min="2089" max="2089" width="16.5" style="2" customWidth="1"/>
    <col min="2090" max="2090" width="5.375" style="2" customWidth="1"/>
    <col min="2091" max="2091" width="21.375" style="2" customWidth="1"/>
    <col min="2092" max="2092" width="5.375" style="2" customWidth="1"/>
    <col min="2093" max="2093" width="19" style="2" customWidth="1"/>
    <col min="2094" max="2094" width="5.375" style="2" customWidth="1"/>
    <col min="2095" max="2095" width="20.75" style="2" customWidth="1"/>
    <col min="2096" max="2096" width="5.375" style="2" customWidth="1"/>
    <col min="2097" max="2097" width="19.625" style="2" customWidth="1"/>
    <col min="2098" max="2098" width="6.375" style="2" customWidth="1"/>
    <col min="2099" max="2099" width="14.375" style="2" customWidth="1"/>
    <col min="2100" max="2100" width="5.375" style="2" customWidth="1"/>
    <col min="2101" max="2101" width="6.375" style="2" customWidth="1"/>
    <col min="2102" max="2102" width="7.75" style="2" customWidth="1"/>
    <col min="2103" max="2104" width="7.125" style="2" customWidth="1"/>
    <col min="2105" max="2105" width="10.875" style="2" customWidth="1"/>
    <col min="2106" max="2309" width="9" style="2"/>
    <col min="2310" max="2310" width="4.25" style="2" bestFit="1" customWidth="1"/>
    <col min="2311" max="2311" width="13.625" style="2" customWidth="1"/>
    <col min="2312" max="2315" width="7.125" style="2" customWidth="1"/>
    <col min="2316" max="2316" width="18" style="2" customWidth="1"/>
    <col min="2317" max="2317" width="5.375" style="2" customWidth="1"/>
    <col min="2318" max="2318" width="17.375" style="2" customWidth="1"/>
    <col min="2319" max="2319" width="5.375" style="2" customWidth="1"/>
    <col min="2320" max="2320" width="21.375" style="2" customWidth="1"/>
    <col min="2321" max="2321" width="5.375" style="2" customWidth="1"/>
    <col min="2322" max="2322" width="18.5" style="2" customWidth="1"/>
    <col min="2323" max="2323" width="6.25" style="2" customWidth="1"/>
    <col min="2324" max="2324" width="16.875" style="2" customWidth="1"/>
    <col min="2325" max="2325" width="5.375" style="2" customWidth="1"/>
    <col min="2326" max="2326" width="18.875" style="2" customWidth="1"/>
    <col min="2327" max="2327" width="5.375" style="2" customWidth="1"/>
    <col min="2328" max="2328" width="18" style="2" customWidth="1"/>
    <col min="2329" max="2329" width="5.375" style="2" customWidth="1"/>
    <col min="2330" max="2330" width="18.875" style="2" customWidth="1"/>
    <col min="2331" max="2331" width="5.375" style="2" customWidth="1"/>
    <col min="2332" max="2332" width="17.75" style="2" customWidth="1"/>
    <col min="2333" max="2333" width="5.375" style="2" customWidth="1"/>
    <col min="2334" max="2334" width="17.75" style="2" customWidth="1"/>
    <col min="2335" max="2335" width="5.375" style="2" customWidth="1"/>
    <col min="2336" max="2339" width="7.125" style="2" customWidth="1"/>
    <col min="2340" max="2340" width="9.125" style="2" customWidth="1"/>
    <col min="2341" max="2341" width="16.5" style="2" customWidth="1"/>
    <col min="2342" max="2342" width="5.375" style="2" customWidth="1"/>
    <col min="2343" max="2343" width="16.5" style="2" customWidth="1"/>
    <col min="2344" max="2344" width="5.375" style="2" customWidth="1"/>
    <col min="2345" max="2345" width="16.5" style="2" customWidth="1"/>
    <col min="2346" max="2346" width="5.375" style="2" customWidth="1"/>
    <col min="2347" max="2347" width="21.375" style="2" customWidth="1"/>
    <col min="2348" max="2348" width="5.375" style="2" customWidth="1"/>
    <col min="2349" max="2349" width="19" style="2" customWidth="1"/>
    <col min="2350" max="2350" width="5.375" style="2" customWidth="1"/>
    <col min="2351" max="2351" width="20.75" style="2" customWidth="1"/>
    <col min="2352" max="2352" width="5.375" style="2" customWidth="1"/>
    <col min="2353" max="2353" width="19.625" style="2" customWidth="1"/>
    <col min="2354" max="2354" width="6.375" style="2" customWidth="1"/>
    <col min="2355" max="2355" width="14.375" style="2" customWidth="1"/>
    <col min="2356" max="2356" width="5.375" style="2" customWidth="1"/>
    <col min="2357" max="2357" width="6.375" style="2" customWidth="1"/>
    <col min="2358" max="2358" width="7.75" style="2" customWidth="1"/>
    <col min="2359" max="2360" width="7.125" style="2" customWidth="1"/>
    <col min="2361" max="2361" width="10.875" style="2" customWidth="1"/>
    <col min="2362" max="2565" width="9" style="2"/>
    <col min="2566" max="2566" width="4.25" style="2" bestFit="1" customWidth="1"/>
    <col min="2567" max="2567" width="13.625" style="2" customWidth="1"/>
    <col min="2568" max="2571" width="7.125" style="2" customWidth="1"/>
    <col min="2572" max="2572" width="18" style="2" customWidth="1"/>
    <col min="2573" max="2573" width="5.375" style="2" customWidth="1"/>
    <col min="2574" max="2574" width="17.375" style="2" customWidth="1"/>
    <col min="2575" max="2575" width="5.375" style="2" customWidth="1"/>
    <col min="2576" max="2576" width="21.375" style="2" customWidth="1"/>
    <col min="2577" max="2577" width="5.375" style="2" customWidth="1"/>
    <col min="2578" max="2578" width="18.5" style="2" customWidth="1"/>
    <col min="2579" max="2579" width="6.25" style="2" customWidth="1"/>
    <col min="2580" max="2580" width="16.875" style="2" customWidth="1"/>
    <col min="2581" max="2581" width="5.375" style="2" customWidth="1"/>
    <col min="2582" max="2582" width="18.875" style="2" customWidth="1"/>
    <col min="2583" max="2583" width="5.375" style="2" customWidth="1"/>
    <col min="2584" max="2584" width="18" style="2" customWidth="1"/>
    <col min="2585" max="2585" width="5.375" style="2" customWidth="1"/>
    <col min="2586" max="2586" width="18.875" style="2" customWidth="1"/>
    <col min="2587" max="2587" width="5.375" style="2" customWidth="1"/>
    <col min="2588" max="2588" width="17.75" style="2" customWidth="1"/>
    <col min="2589" max="2589" width="5.375" style="2" customWidth="1"/>
    <col min="2590" max="2590" width="17.75" style="2" customWidth="1"/>
    <col min="2591" max="2591" width="5.375" style="2" customWidth="1"/>
    <col min="2592" max="2595" width="7.125" style="2" customWidth="1"/>
    <col min="2596" max="2596" width="9.125" style="2" customWidth="1"/>
    <col min="2597" max="2597" width="16.5" style="2" customWidth="1"/>
    <col min="2598" max="2598" width="5.375" style="2" customWidth="1"/>
    <col min="2599" max="2599" width="16.5" style="2" customWidth="1"/>
    <col min="2600" max="2600" width="5.375" style="2" customWidth="1"/>
    <col min="2601" max="2601" width="16.5" style="2" customWidth="1"/>
    <col min="2602" max="2602" width="5.375" style="2" customWidth="1"/>
    <col min="2603" max="2603" width="21.375" style="2" customWidth="1"/>
    <col min="2604" max="2604" width="5.375" style="2" customWidth="1"/>
    <col min="2605" max="2605" width="19" style="2" customWidth="1"/>
    <col min="2606" max="2606" width="5.375" style="2" customWidth="1"/>
    <col min="2607" max="2607" width="20.75" style="2" customWidth="1"/>
    <col min="2608" max="2608" width="5.375" style="2" customWidth="1"/>
    <col min="2609" max="2609" width="19.625" style="2" customWidth="1"/>
    <col min="2610" max="2610" width="6.375" style="2" customWidth="1"/>
    <col min="2611" max="2611" width="14.375" style="2" customWidth="1"/>
    <col min="2612" max="2612" width="5.375" style="2" customWidth="1"/>
    <col min="2613" max="2613" width="6.375" style="2" customWidth="1"/>
    <col min="2614" max="2614" width="7.75" style="2" customWidth="1"/>
    <col min="2615" max="2616" width="7.125" style="2" customWidth="1"/>
    <col min="2617" max="2617" width="10.875" style="2" customWidth="1"/>
    <col min="2618" max="2821" width="9" style="2"/>
    <col min="2822" max="2822" width="4.25" style="2" bestFit="1" customWidth="1"/>
    <col min="2823" max="2823" width="13.625" style="2" customWidth="1"/>
    <col min="2824" max="2827" width="7.125" style="2" customWidth="1"/>
    <col min="2828" max="2828" width="18" style="2" customWidth="1"/>
    <col min="2829" max="2829" width="5.375" style="2" customWidth="1"/>
    <col min="2830" max="2830" width="17.375" style="2" customWidth="1"/>
    <col min="2831" max="2831" width="5.375" style="2" customWidth="1"/>
    <col min="2832" max="2832" width="21.375" style="2" customWidth="1"/>
    <col min="2833" max="2833" width="5.375" style="2" customWidth="1"/>
    <col min="2834" max="2834" width="18.5" style="2" customWidth="1"/>
    <col min="2835" max="2835" width="6.25" style="2" customWidth="1"/>
    <col min="2836" max="2836" width="16.875" style="2" customWidth="1"/>
    <col min="2837" max="2837" width="5.375" style="2" customWidth="1"/>
    <col min="2838" max="2838" width="18.875" style="2" customWidth="1"/>
    <col min="2839" max="2839" width="5.375" style="2" customWidth="1"/>
    <col min="2840" max="2840" width="18" style="2" customWidth="1"/>
    <col min="2841" max="2841" width="5.375" style="2" customWidth="1"/>
    <col min="2842" max="2842" width="18.875" style="2" customWidth="1"/>
    <col min="2843" max="2843" width="5.375" style="2" customWidth="1"/>
    <col min="2844" max="2844" width="17.75" style="2" customWidth="1"/>
    <col min="2845" max="2845" width="5.375" style="2" customWidth="1"/>
    <col min="2846" max="2846" width="17.75" style="2" customWidth="1"/>
    <col min="2847" max="2847" width="5.375" style="2" customWidth="1"/>
    <col min="2848" max="2851" width="7.125" style="2" customWidth="1"/>
    <col min="2852" max="2852" width="9.125" style="2" customWidth="1"/>
    <col min="2853" max="2853" width="16.5" style="2" customWidth="1"/>
    <col min="2854" max="2854" width="5.375" style="2" customWidth="1"/>
    <col min="2855" max="2855" width="16.5" style="2" customWidth="1"/>
    <col min="2856" max="2856" width="5.375" style="2" customWidth="1"/>
    <col min="2857" max="2857" width="16.5" style="2" customWidth="1"/>
    <col min="2858" max="2858" width="5.375" style="2" customWidth="1"/>
    <col min="2859" max="2859" width="21.375" style="2" customWidth="1"/>
    <col min="2860" max="2860" width="5.375" style="2" customWidth="1"/>
    <col min="2861" max="2861" width="19" style="2" customWidth="1"/>
    <col min="2862" max="2862" width="5.375" style="2" customWidth="1"/>
    <col min="2863" max="2863" width="20.75" style="2" customWidth="1"/>
    <col min="2864" max="2864" width="5.375" style="2" customWidth="1"/>
    <col min="2865" max="2865" width="19.625" style="2" customWidth="1"/>
    <col min="2866" max="2866" width="6.375" style="2" customWidth="1"/>
    <col min="2867" max="2867" width="14.375" style="2" customWidth="1"/>
    <col min="2868" max="2868" width="5.375" style="2" customWidth="1"/>
    <col min="2869" max="2869" width="6.375" style="2" customWidth="1"/>
    <col min="2870" max="2870" width="7.75" style="2" customWidth="1"/>
    <col min="2871" max="2872" width="7.125" style="2" customWidth="1"/>
    <col min="2873" max="2873" width="10.875" style="2" customWidth="1"/>
    <col min="2874" max="3077" width="9" style="2"/>
    <col min="3078" max="3078" width="4.25" style="2" bestFit="1" customWidth="1"/>
    <col min="3079" max="3079" width="13.625" style="2" customWidth="1"/>
    <col min="3080" max="3083" width="7.125" style="2" customWidth="1"/>
    <col min="3084" max="3084" width="18" style="2" customWidth="1"/>
    <col min="3085" max="3085" width="5.375" style="2" customWidth="1"/>
    <col min="3086" max="3086" width="17.375" style="2" customWidth="1"/>
    <col min="3087" max="3087" width="5.375" style="2" customWidth="1"/>
    <col min="3088" max="3088" width="21.375" style="2" customWidth="1"/>
    <col min="3089" max="3089" width="5.375" style="2" customWidth="1"/>
    <col min="3090" max="3090" width="18.5" style="2" customWidth="1"/>
    <col min="3091" max="3091" width="6.25" style="2" customWidth="1"/>
    <col min="3092" max="3092" width="16.875" style="2" customWidth="1"/>
    <col min="3093" max="3093" width="5.375" style="2" customWidth="1"/>
    <col min="3094" max="3094" width="18.875" style="2" customWidth="1"/>
    <col min="3095" max="3095" width="5.375" style="2" customWidth="1"/>
    <col min="3096" max="3096" width="18" style="2" customWidth="1"/>
    <col min="3097" max="3097" width="5.375" style="2" customWidth="1"/>
    <col min="3098" max="3098" width="18.875" style="2" customWidth="1"/>
    <col min="3099" max="3099" width="5.375" style="2" customWidth="1"/>
    <col min="3100" max="3100" width="17.75" style="2" customWidth="1"/>
    <col min="3101" max="3101" width="5.375" style="2" customWidth="1"/>
    <col min="3102" max="3102" width="17.75" style="2" customWidth="1"/>
    <col min="3103" max="3103" width="5.375" style="2" customWidth="1"/>
    <col min="3104" max="3107" width="7.125" style="2" customWidth="1"/>
    <col min="3108" max="3108" width="9.125" style="2" customWidth="1"/>
    <col min="3109" max="3109" width="16.5" style="2" customWidth="1"/>
    <col min="3110" max="3110" width="5.375" style="2" customWidth="1"/>
    <col min="3111" max="3111" width="16.5" style="2" customWidth="1"/>
    <col min="3112" max="3112" width="5.375" style="2" customWidth="1"/>
    <col min="3113" max="3113" width="16.5" style="2" customWidth="1"/>
    <col min="3114" max="3114" width="5.375" style="2" customWidth="1"/>
    <col min="3115" max="3115" width="21.375" style="2" customWidth="1"/>
    <col min="3116" max="3116" width="5.375" style="2" customWidth="1"/>
    <col min="3117" max="3117" width="19" style="2" customWidth="1"/>
    <col min="3118" max="3118" width="5.375" style="2" customWidth="1"/>
    <col min="3119" max="3119" width="20.75" style="2" customWidth="1"/>
    <col min="3120" max="3120" width="5.375" style="2" customWidth="1"/>
    <col min="3121" max="3121" width="19.625" style="2" customWidth="1"/>
    <col min="3122" max="3122" width="6.375" style="2" customWidth="1"/>
    <col min="3123" max="3123" width="14.375" style="2" customWidth="1"/>
    <col min="3124" max="3124" width="5.375" style="2" customWidth="1"/>
    <col min="3125" max="3125" width="6.375" style="2" customWidth="1"/>
    <col min="3126" max="3126" width="7.75" style="2" customWidth="1"/>
    <col min="3127" max="3128" width="7.125" style="2" customWidth="1"/>
    <col min="3129" max="3129" width="10.875" style="2" customWidth="1"/>
    <col min="3130" max="3333" width="9" style="2"/>
    <col min="3334" max="3334" width="4.25" style="2" bestFit="1" customWidth="1"/>
    <col min="3335" max="3335" width="13.625" style="2" customWidth="1"/>
    <col min="3336" max="3339" width="7.125" style="2" customWidth="1"/>
    <col min="3340" max="3340" width="18" style="2" customWidth="1"/>
    <col min="3341" max="3341" width="5.375" style="2" customWidth="1"/>
    <col min="3342" max="3342" width="17.375" style="2" customWidth="1"/>
    <col min="3343" max="3343" width="5.375" style="2" customWidth="1"/>
    <col min="3344" max="3344" width="21.375" style="2" customWidth="1"/>
    <col min="3345" max="3345" width="5.375" style="2" customWidth="1"/>
    <col min="3346" max="3346" width="18.5" style="2" customWidth="1"/>
    <col min="3347" max="3347" width="6.25" style="2" customWidth="1"/>
    <col min="3348" max="3348" width="16.875" style="2" customWidth="1"/>
    <col min="3349" max="3349" width="5.375" style="2" customWidth="1"/>
    <col min="3350" max="3350" width="18.875" style="2" customWidth="1"/>
    <col min="3351" max="3351" width="5.375" style="2" customWidth="1"/>
    <col min="3352" max="3352" width="18" style="2" customWidth="1"/>
    <col min="3353" max="3353" width="5.375" style="2" customWidth="1"/>
    <col min="3354" max="3354" width="18.875" style="2" customWidth="1"/>
    <col min="3355" max="3355" width="5.375" style="2" customWidth="1"/>
    <col min="3356" max="3356" width="17.75" style="2" customWidth="1"/>
    <col min="3357" max="3357" width="5.375" style="2" customWidth="1"/>
    <col min="3358" max="3358" width="17.75" style="2" customWidth="1"/>
    <col min="3359" max="3359" width="5.375" style="2" customWidth="1"/>
    <col min="3360" max="3363" width="7.125" style="2" customWidth="1"/>
    <col min="3364" max="3364" width="9.125" style="2" customWidth="1"/>
    <col min="3365" max="3365" width="16.5" style="2" customWidth="1"/>
    <col min="3366" max="3366" width="5.375" style="2" customWidth="1"/>
    <col min="3367" max="3367" width="16.5" style="2" customWidth="1"/>
    <col min="3368" max="3368" width="5.375" style="2" customWidth="1"/>
    <col min="3369" max="3369" width="16.5" style="2" customWidth="1"/>
    <col min="3370" max="3370" width="5.375" style="2" customWidth="1"/>
    <col min="3371" max="3371" width="21.375" style="2" customWidth="1"/>
    <col min="3372" max="3372" width="5.375" style="2" customWidth="1"/>
    <col min="3373" max="3373" width="19" style="2" customWidth="1"/>
    <col min="3374" max="3374" width="5.375" style="2" customWidth="1"/>
    <col min="3375" max="3375" width="20.75" style="2" customWidth="1"/>
    <col min="3376" max="3376" width="5.375" style="2" customWidth="1"/>
    <col min="3377" max="3377" width="19.625" style="2" customWidth="1"/>
    <col min="3378" max="3378" width="6.375" style="2" customWidth="1"/>
    <col min="3379" max="3379" width="14.375" style="2" customWidth="1"/>
    <col min="3380" max="3380" width="5.375" style="2" customWidth="1"/>
    <col min="3381" max="3381" width="6.375" style="2" customWidth="1"/>
    <col min="3382" max="3382" width="7.75" style="2" customWidth="1"/>
    <col min="3383" max="3384" width="7.125" style="2" customWidth="1"/>
    <col min="3385" max="3385" width="10.875" style="2" customWidth="1"/>
    <col min="3386" max="3589" width="9" style="2"/>
    <col min="3590" max="3590" width="4.25" style="2" bestFit="1" customWidth="1"/>
    <col min="3591" max="3591" width="13.625" style="2" customWidth="1"/>
    <col min="3592" max="3595" width="7.125" style="2" customWidth="1"/>
    <col min="3596" max="3596" width="18" style="2" customWidth="1"/>
    <col min="3597" max="3597" width="5.375" style="2" customWidth="1"/>
    <col min="3598" max="3598" width="17.375" style="2" customWidth="1"/>
    <col min="3599" max="3599" width="5.375" style="2" customWidth="1"/>
    <col min="3600" max="3600" width="21.375" style="2" customWidth="1"/>
    <col min="3601" max="3601" width="5.375" style="2" customWidth="1"/>
    <col min="3602" max="3602" width="18.5" style="2" customWidth="1"/>
    <col min="3603" max="3603" width="6.25" style="2" customWidth="1"/>
    <col min="3604" max="3604" width="16.875" style="2" customWidth="1"/>
    <col min="3605" max="3605" width="5.375" style="2" customWidth="1"/>
    <col min="3606" max="3606" width="18.875" style="2" customWidth="1"/>
    <col min="3607" max="3607" width="5.375" style="2" customWidth="1"/>
    <col min="3608" max="3608" width="18" style="2" customWidth="1"/>
    <col min="3609" max="3609" width="5.375" style="2" customWidth="1"/>
    <col min="3610" max="3610" width="18.875" style="2" customWidth="1"/>
    <col min="3611" max="3611" width="5.375" style="2" customWidth="1"/>
    <col min="3612" max="3612" width="17.75" style="2" customWidth="1"/>
    <col min="3613" max="3613" width="5.375" style="2" customWidth="1"/>
    <col min="3614" max="3614" width="17.75" style="2" customWidth="1"/>
    <col min="3615" max="3615" width="5.375" style="2" customWidth="1"/>
    <col min="3616" max="3619" width="7.125" style="2" customWidth="1"/>
    <col min="3620" max="3620" width="9.125" style="2" customWidth="1"/>
    <col min="3621" max="3621" width="16.5" style="2" customWidth="1"/>
    <col min="3622" max="3622" width="5.375" style="2" customWidth="1"/>
    <col min="3623" max="3623" width="16.5" style="2" customWidth="1"/>
    <col min="3624" max="3624" width="5.375" style="2" customWidth="1"/>
    <col min="3625" max="3625" width="16.5" style="2" customWidth="1"/>
    <col min="3626" max="3626" width="5.375" style="2" customWidth="1"/>
    <col min="3627" max="3627" width="21.375" style="2" customWidth="1"/>
    <col min="3628" max="3628" width="5.375" style="2" customWidth="1"/>
    <col min="3629" max="3629" width="19" style="2" customWidth="1"/>
    <col min="3630" max="3630" width="5.375" style="2" customWidth="1"/>
    <col min="3631" max="3631" width="20.75" style="2" customWidth="1"/>
    <col min="3632" max="3632" width="5.375" style="2" customWidth="1"/>
    <col min="3633" max="3633" width="19.625" style="2" customWidth="1"/>
    <col min="3634" max="3634" width="6.375" style="2" customWidth="1"/>
    <col min="3635" max="3635" width="14.375" style="2" customWidth="1"/>
    <col min="3636" max="3636" width="5.375" style="2" customWidth="1"/>
    <col min="3637" max="3637" width="6.375" style="2" customWidth="1"/>
    <col min="3638" max="3638" width="7.75" style="2" customWidth="1"/>
    <col min="3639" max="3640" width="7.125" style="2" customWidth="1"/>
    <col min="3641" max="3641" width="10.875" style="2" customWidth="1"/>
    <col min="3642" max="3845" width="9" style="2"/>
    <col min="3846" max="3846" width="4.25" style="2" bestFit="1" customWidth="1"/>
    <col min="3847" max="3847" width="13.625" style="2" customWidth="1"/>
    <col min="3848" max="3851" width="7.125" style="2" customWidth="1"/>
    <col min="3852" max="3852" width="18" style="2" customWidth="1"/>
    <col min="3853" max="3853" width="5.375" style="2" customWidth="1"/>
    <col min="3854" max="3854" width="17.375" style="2" customWidth="1"/>
    <col min="3855" max="3855" width="5.375" style="2" customWidth="1"/>
    <col min="3856" max="3856" width="21.375" style="2" customWidth="1"/>
    <col min="3857" max="3857" width="5.375" style="2" customWidth="1"/>
    <col min="3858" max="3858" width="18.5" style="2" customWidth="1"/>
    <col min="3859" max="3859" width="6.25" style="2" customWidth="1"/>
    <col min="3860" max="3860" width="16.875" style="2" customWidth="1"/>
    <col min="3861" max="3861" width="5.375" style="2" customWidth="1"/>
    <col min="3862" max="3862" width="18.875" style="2" customWidth="1"/>
    <col min="3863" max="3863" width="5.375" style="2" customWidth="1"/>
    <col min="3864" max="3864" width="18" style="2" customWidth="1"/>
    <col min="3865" max="3865" width="5.375" style="2" customWidth="1"/>
    <col min="3866" max="3866" width="18.875" style="2" customWidth="1"/>
    <col min="3867" max="3867" width="5.375" style="2" customWidth="1"/>
    <col min="3868" max="3868" width="17.75" style="2" customWidth="1"/>
    <col min="3869" max="3869" width="5.375" style="2" customWidth="1"/>
    <col min="3870" max="3870" width="17.75" style="2" customWidth="1"/>
    <col min="3871" max="3871" width="5.375" style="2" customWidth="1"/>
    <col min="3872" max="3875" width="7.125" style="2" customWidth="1"/>
    <col min="3876" max="3876" width="9.125" style="2" customWidth="1"/>
    <col min="3877" max="3877" width="16.5" style="2" customWidth="1"/>
    <col min="3878" max="3878" width="5.375" style="2" customWidth="1"/>
    <col min="3879" max="3879" width="16.5" style="2" customWidth="1"/>
    <col min="3880" max="3880" width="5.375" style="2" customWidth="1"/>
    <col min="3881" max="3881" width="16.5" style="2" customWidth="1"/>
    <col min="3882" max="3882" width="5.375" style="2" customWidth="1"/>
    <col min="3883" max="3883" width="21.375" style="2" customWidth="1"/>
    <col min="3884" max="3884" width="5.375" style="2" customWidth="1"/>
    <col min="3885" max="3885" width="19" style="2" customWidth="1"/>
    <col min="3886" max="3886" width="5.375" style="2" customWidth="1"/>
    <col min="3887" max="3887" width="20.75" style="2" customWidth="1"/>
    <col min="3888" max="3888" width="5.375" style="2" customWidth="1"/>
    <col min="3889" max="3889" width="19.625" style="2" customWidth="1"/>
    <col min="3890" max="3890" width="6.375" style="2" customWidth="1"/>
    <col min="3891" max="3891" width="14.375" style="2" customWidth="1"/>
    <col min="3892" max="3892" width="5.375" style="2" customWidth="1"/>
    <col min="3893" max="3893" width="6.375" style="2" customWidth="1"/>
    <col min="3894" max="3894" width="7.75" style="2" customWidth="1"/>
    <col min="3895" max="3896" width="7.125" style="2" customWidth="1"/>
    <col min="3897" max="3897" width="10.875" style="2" customWidth="1"/>
    <col min="3898" max="4101" width="9" style="2"/>
    <col min="4102" max="4102" width="4.25" style="2" bestFit="1" customWidth="1"/>
    <col min="4103" max="4103" width="13.625" style="2" customWidth="1"/>
    <col min="4104" max="4107" width="7.125" style="2" customWidth="1"/>
    <col min="4108" max="4108" width="18" style="2" customWidth="1"/>
    <col min="4109" max="4109" width="5.375" style="2" customWidth="1"/>
    <col min="4110" max="4110" width="17.375" style="2" customWidth="1"/>
    <col min="4111" max="4111" width="5.375" style="2" customWidth="1"/>
    <col min="4112" max="4112" width="21.375" style="2" customWidth="1"/>
    <col min="4113" max="4113" width="5.375" style="2" customWidth="1"/>
    <col min="4114" max="4114" width="18.5" style="2" customWidth="1"/>
    <col min="4115" max="4115" width="6.25" style="2" customWidth="1"/>
    <col min="4116" max="4116" width="16.875" style="2" customWidth="1"/>
    <col min="4117" max="4117" width="5.375" style="2" customWidth="1"/>
    <col min="4118" max="4118" width="18.875" style="2" customWidth="1"/>
    <col min="4119" max="4119" width="5.375" style="2" customWidth="1"/>
    <col min="4120" max="4120" width="18" style="2" customWidth="1"/>
    <col min="4121" max="4121" width="5.375" style="2" customWidth="1"/>
    <col min="4122" max="4122" width="18.875" style="2" customWidth="1"/>
    <col min="4123" max="4123" width="5.375" style="2" customWidth="1"/>
    <col min="4124" max="4124" width="17.75" style="2" customWidth="1"/>
    <col min="4125" max="4125" width="5.375" style="2" customWidth="1"/>
    <col min="4126" max="4126" width="17.75" style="2" customWidth="1"/>
    <col min="4127" max="4127" width="5.375" style="2" customWidth="1"/>
    <col min="4128" max="4131" width="7.125" style="2" customWidth="1"/>
    <col min="4132" max="4132" width="9.125" style="2" customWidth="1"/>
    <col min="4133" max="4133" width="16.5" style="2" customWidth="1"/>
    <col min="4134" max="4134" width="5.375" style="2" customWidth="1"/>
    <col min="4135" max="4135" width="16.5" style="2" customWidth="1"/>
    <col min="4136" max="4136" width="5.375" style="2" customWidth="1"/>
    <col min="4137" max="4137" width="16.5" style="2" customWidth="1"/>
    <col min="4138" max="4138" width="5.375" style="2" customWidth="1"/>
    <col min="4139" max="4139" width="21.375" style="2" customWidth="1"/>
    <col min="4140" max="4140" width="5.375" style="2" customWidth="1"/>
    <col min="4141" max="4141" width="19" style="2" customWidth="1"/>
    <col min="4142" max="4142" width="5.375" style="2" customWidth="1"/>
    <col min="4143" max="4143" width="20.75" style="2" customWidth="1"/>
    <col min="4144" max="4144" width="5.375" style="2" customWidth="1"/>
    <col min="4145" max="4145" width="19.625" style="2" customWidth="1"/>
    <col min="4146" max="4146" width="6.375" style="2" customWidth="1"/>
    <col min="4147" max="4147" width="14.375" style="2" customWidth="1"/>
    <col min="4148" max="4148" width="5.375" style="2" customWidth="1"/>
    <col min="4149" max="4149" width="6.375" style="2" customWidth="1"/>
    <col min="4150" max="4150" width="7.75" style="2" customWidth="1"/>
    <col min="4151" max="4152" width="7.125" style="2" customWidth="1"/>
    <col min="4153" max="4153" width="10.875" style="2" customWidth="1"/>
    <col min="4154" max="4357" width="9" style="2"/>
    <col min="4358" max="4358" width="4.25" style="2" bestFit="1" customWidth="1"/>
    <col min="4359" max="4359" width="13.625" style="2" customWidth="1"/>
    <col min="4360" max="4363" width="7.125" style="2" customWidth="1"/>
    <col min="4364" max="4364" width="18" style="2" customWidth="1"/>
    <col min="4365" max="4365" width="5.375" style="2" customWidth="1"/>
    <col min="4366" max="4366" width="17.375" style="2" customWidth="1"/>
    <col min="4367" max="4367" width="5.375" style="2" customWidth="1"/>
    <col min="4368" max="4368" width="21.375" style="2" customWidth="1"/>
    <col min="4369" max="4369" width="5.375" style="2" customWidth="1"/>
    <col min="4370" max="4370" width="18.5" style="2" customWidth="1"/>
    <col min="4371" max="4371" width="6.25" style="2" customWidth="1"/>
    <col min="4372" max="4372" width="16.875" style="2" customWidth="1"/>
    <col min="4373" max="4373" width="5.375" style="2" customWidth="1"/>
    <col min="4374" max="4374" width="18.875" style="2" customWidth="1"/>
    <col min="4375" max="4375" width="5.375" style="2" customWidth="1"/>
    <col min="4376" max="4376" width="18" style="2" customWidth="1"/>
    <col min="4377" max="4377" width="5.375" style="2" customWidth="1"/>
    <col min="4378" max="4378" width="18.875" style="2" customWidth="1"/>
    <col min="4379" max="4379" width="5.375" style="2" customWidth="1"/>
    <col min="4380" max="4380" width="17.75" style="2" customWidth="1"/>
    <col min="4381" max="4381" width="5.375" style="2" customWidth="1"/>
    <col min="4382" max="4382" width="17.75" style="2" customWidth="1"/>
    <col min="4383" max="4383" width="5.375" style="2" customWidth="1"/>
    <col min="4384" max="4387" width="7.125" style="2" customWidth="1"/>
    <col min="4388" max="4388" width="9.125" style="2" customWidth="1"/>
    <col min="4389" max="4389" width="16.5" style="2" customWidth="1"/>
    <col min="4390" max="4390" width="5.375" style="2" customWidth="1"/>
    <col min="4391" max="4391" width="16.5" style="2" customWidth="1"/>
    <col min="4392" max="4392" width="5.375" style="2" customWidth="1"/>
    <col min="4393" max="4393" width="16.5" style="2" customWidth="1"/>
    <col min="4394" max="4394" width="5.375" style="2" customWidth="1"/>
    <col min="4395" max="4395" width="21.375" style="2" customWidth="1"/>
    <col min="4396" max="4396" width="5.375" style="2" customWidth="1"/>
    <col min="4397" max="4397" width="19" style="2" customWidth="1"/>
    <col min="4398" max="4398" width="5.375" style="2" customWidth="1"/>
    <col min="4399" max="4399" width="20.75" style="2" customWidth="1"/>
    <col min="4400" max="4400" width="5.375" style="2" customWidth="1"/>
    <col min="4401" max="4401" width="19.625" style="2" customWidth="1"/>
    <col min="4402" max="4402" width="6.375" style="2" customWidth="1"/>
    <col min="4403" max="4403" width="14.375" style="2" customWidth="1"/>
    <col min="4404" max="4404" width="5.375" style="2" customWidth="1"/>
    <col min="4405" max="4405" width="6.375" style="2" customWidth="1"/>
    <col min="4406" max="4406" width="7.75" style="2" customWidth="1"/>
    <col min="4407" max="4408" width="7.125" style="2" customWidth="1"/>
    <col min="4409" max="4409" width="10.875" style="2" customWidth="1"/>
    <col min="4410" max="4613" width="9" style="2"/>
    <col min="4614" max="4614" width="4.25" style="2" bestFit="1" customWidth="1"/>
    <col min="4615" max="4615" width="13.625" style="2" customWidth="1"/>
    <col min="4616" max="4619" width="7.125" style="2" customWidth="1"/>
    <col min="4620" max="4620" width="18" style="2" customWidth="1"/>
    <col min="4621" max="4621" width="5.375" style="2" customWidth="1"/>
    <col min="4622" max="4622" width="17.375" style="2" customWidth="1"/>
    <col min="4623" max="4623" width="5.375" style="2" customWidth="1"/>
    <col min="4624" max="4624" width="21.375" style="2" customWidth="1"/>
    <col min="4625" max="4625" width="5.375" style="2" customWidth="1"/>
    <col min="4626" max="4626" width="18.5" style="2" customWidth="1"/>
    <col min="4627" max="4627" width="6.25" style="2" customWidth="1"/>
    <col min="4628" max="4628" width="16.875" style="2" customWidth="1"/>
    <col min="4629" max="4629" width="5.375" style="2" customWidth="1"/>
    <col min="4630" max="4630" width="18.875" style="2" customWidth="1"/>
    <col min="4631" max="4631" width="5.375" style="2" customWidth="1"/>
    <col min="4632" max="4632" width="18" style="2" customWidth="1"/>
    <col min="4633" max="4633" width="5.375" style="2" customWidth="1"/>
    <col min="4634" max="4634" width="18.875" style="2" customWidth="1"/>
    <col min="4635" max="4635" width="5.375" style="2" customWidth="1"/>
    <col min="4636" max="4636" width="17.75" style="2" customWidth="1"/>
    <col min="4637" max="4637" width="5.375" style="2" customWidth="1"/>
    <col min="4638" max="4638" width="17.75" style="2" customWidth="1"/>
    <col min="4639" max="4639" width="5.375" style="2" customWidth="1"/>
    <col min="4640" max="4643" width="7.125" style="2" customWidth="1"/>
    <col min="4644" max="4644" width="9.125" style="2" customWidth="1"/>
    <col min="4645" max="4645" width="16.5" style="2" customWidth="1"/>
    <col min="4646" max="4646" width="5.375" style="2" customWidth="1"/>
    <col min="4647" max="4647" width="16.5" style="2" customWidth="1"/>
    <col min="4648" max="4648" width="5.375" style="2" customWidth="1"/>
    <col min="4649" max="4649" width="16.5" style="2" customWidth="1"/>
    <col min="4650" max="4650" width="5.375" style="2" customWidth="1"/>
    <col min="4651" max="4651" width="21.375" style="2" customWidth="1"/>
    <col min="4652" max="4652" width="5.375" style="2" customWidth="1"/>
    <col min="4653" max="4653" width="19" style="2" customWidth="1"/>
    <col min="4654" max="4654" width="5.375" style="2" customWidth="1"/>
    <col min="4655" max="4655" width="20.75" style="2" customWidth="1"/>
    <col min="4656" max="4656" width="5.375" style="2" customWidth="1"/>
    <col min="4657" max="4657" width="19.625" style="2" customWidth="1"/>
    <col min="4658" max="4658" width="6.375" style="2" customWidth="1"/>
    <col min="4659" max="4659" width="14.375" style="2" customWidth="1"/>
    <col min="4660" max="4660" width="5.375" style="2" customWidth="1"/>
    <col min="4661" max="4661" width="6.375" style="2" customWidth="1"/>
    <col min="4662" max="4662" width="7.75" style="2" customWidth="1"/>
    <col min="4663" max="4664" width="7.125" style="2" customWidth="1"/>
    <col min="4665" max="4665" width="10.875" style="2" customWidth="1"/>
    <col min="4666" max="4869" width="9" style="2"/>
    <col min="4870" max="4870" width="4.25" style="2" bestFit="1" customWidth="1"/>
    <col min="4871" max="4871" width="13.625" style="2" customWidth="1"/>
    <col min="4872" max="4875" width="7.125" style="2" customWidth="1"/>
    <col min="4876" max="4876" width="18" style="2" customWidth="1"/>
    <col min="4877" max="4877" width="5.375" style="2" customWidth="1"/>
    <col min="4878" max="4878" width="17.375" style="2" customWidth="1"/>
    <col min="4879" max="4879" width="5.375" style="2" customWidth="1"/>
    <col min="4880" max="4880" width="21.375" style="2" customWidth="1"/>
    <col min="4881" max="4881" width="5.375" style="2" customWidth="1"/>
    <col min="4882" max="4882" width="18.5" style="2" customWidth="1"/>
    <col min="4883" max="4883" width="6.25" style="2" customWidth="1"/>
    <col min="4884" max="4884" width="16.875" style="2" customWidth="1"/>
    <col min="4885" max="4885" width="5.375" style="2" customWidth="1"/>
    <col min="4886" max="4886" width="18.875" style="2" customWidth="1"/>
    <col min="4887" max="4887" width="5.375" style="2" customWidth="1"/>
    <col min="4888" max="4888" width="18" style="2" customWidth="1"/>
    <col min="4889" max="4889" width="5.375" style="2" customWidth="1"/>
    <col min="4890" max="4890" width="18.875" style="2" customWidth="1"/>
    <col min="4891" max="4891" width="5.375" style="2" customWidth="1"/>
    <col min="4892" max="4892" width="17.75" style="2" customWidth="1"/>
    <col min="4893" max="4893" width="5.375" style="2" customWidth="1"/>
    <col min="4894" max="4894" width="17.75" style="2" customWidth="1"/>
    <col min="4895" max="4895" width="5.375" style="2" customWidth="1"/>
    <col min="4896" max="4899" width="7.125" style="2" customWidth="1"/>
    <col min="4900" max="4900" width="9.125" style="2" customWidth="1"/>
    <col min="4901" max="4901" width="16.5" style="2" customWidth="1"/>
    <col min="4902" max="4902" width="5.375" style="2" customWidth="1"/>
    <col min="4903" max="4903" width="16.5" style="2" customWidth="1"/>
    <col min="4904" max="4904" width="5.375" style="2" customWidth="1"/>
    <col min="4905" max="4905" width="16.5" style="2" customWidth="1"/>
    <col min="4906" max="4906" width="5.375" style="2" customWidth="1"/>
    <col min="4907" max="4907" width="21.375" style="2" customWidth="1"/>
    <col min="4908" max="4908" width="5.375" style="2" customWidth="1"/>
    <col min="4909" max="4909" width="19" style="2" customWidth="1"/>
    <col min="4910" max="4910" width="5.375" style="2" customWidth="1"/>
    <col min="4911" max="4911" width="20.75" style="2" customWidth="1"/>
    <col min="4912" max="4912" width="5.375" style="2" customWidth="1"/>
    <col min="4913" max="4913" width="19.625" style="2" customWidth="1"/>
    <col min="4914" max="4914" width="6.375" style="2" customWidth="1"/>
    <col min="4915" max="4915" width="14.375" style="2" customWidth="1"/>
    <col min="4916" max="4916" width="5.375" style="2" customWidth="1"/>
    <col min="4917" max="4917" width="6.375" style="2" customWidth="1"/>
    <col min="4918" max="4918" width="7.75" style="2" customWidth="1"/>
    <col min="4919" max="4920" width="7.125" style="2" customWidth="1"/>
    <col min="4921" max="4921" width="10.875" style="2" customWidth="1"/>
    <col min="4922" max="5125" width="9" style="2"/>
    <col min="5126" max="5126" width="4.25" style="2" bestFit="1" customWidth="1"/>
    <col min="5127" max="5127" width="13.625" style="2" customWidth="1"/>
    <col min="5128" max="5131" width="7.125" style="2" customWidth="1"/>
    <col min="5132" max="5132" width="18" style="2" customWidth="1"/>
    <col min="5133" max="5133" width="5.375" style="2" customWidth="1"/>
    <col min="5134" max="5134" width="17.375" style="2" customWidth="1"/>
    <col min="5135" max="5135" width="5.375" style="2" customWidth="1"/>
    <col min="5136" max="5136" width="21.375" style="2" customWidth="1"/>
    <col min="5137" max="5137" width="5.375" style="2" customWidth="1"/>
    <col min="5138" max="5138" width="18.5" style="2" customWidth="1"/>
    <col min="5139" max="5139" width="6.25" style="2" customWidth="1"/>
    <col min="5140" max="5140" width="16.875" style="2" customWidth="1"/>
    <col min="5141" max="5141" width="5.375" style="2" customWidth="1"/>
    <col min="5142" max="5142" width="18.875" style="2" customWidth="1"/>
    <col min="5143" max="5143" width="5.375" style="2" customWidth="1"/>
    <col min="5144" max="5144" width="18" style="2" customWidth="1"/>
    <col min="5145" max="5145" width="5.375" style="2" customWidth="1"/>
    <col min="5146" max="5146" width="18.875" style="2" customWidth="1"/>
    <col min="5147" max="5147" width="5.375" style="2" customWidth="1"/>
    <col min="5148" max="5148" width="17.75" style="2" customWidth="1"/>
    <col min="5149" max="5149" width="5.375" style="2" customWidth="1"/>
    <col min="5150" max="5150" width="17.75" style="2" customWidth="1"/>
    <col min="5151" max="5151" width="5.375" style="2" customWidth="1"/>
    <col min="5152" max="5155" width="7.125" style="2" customWidth="1"/>
    <col min="5156" max="5156" width="9.125" style="2" customWidth="1"/>
    <col min="5157" max="5157" width="16.5" style="2" customWidth="1"/>
    <col min="5158" max="5158" width="5.375" style="2" customWidth="1"/>
    <col min="5159" max="5159" width="16.5" style="2" customWidth="1"/>
    <col min="5160" max="5160" width="5.375" style="2" customWidth="1"/>
    <col min="5161" max="5161" width="16.5" style="2" customWidth="1"/>
    <col min="5162" max="5162" width="5.375" style="2" customWidth="1"/>
    <col min="5163" max="5163" width="21.375" style="2" customWidth="1"/>
    <col min="5164" max="5164" width="5.375" style="2" customWidth="1"/>
    <col min="5165" max="5165" width="19" style="2" customWidth="1"/>
    <col min="5166" max="5166" width="5.375" style="2" customWidth="1"/>
    <col min="5167" max="5167" width="20.75" style="2" customWidth="1"/>
    <col min="5168" max="5168" width="5.375" style="2" customWidth="1"/>
    <col min="5169" max="5169" width="19.625" style="2" customWidth="1"/>
    <col min="5170" max="5170" width="6.375" style="2" customWidth="1"/>
    <col min="5171" max="5171" width="14.375" style="2" customWidth="1"/>
    <col min="5172" max="5172" width="5.375" style="2" customWidth="1"/>
    <col min="5173" max="5173" width="6.375" style="2" customWidth="1"/>
    <col min="5174" max="5174" width="7.75" style="2" customWidth="1"/>
    <col min="5175" max="5176" width="7.125" style="2" customWidth="1"/>
    <col min="5177" max="5177" width="10.875" style="2" customWidth="1"/>
    <col min="5178" max="5381" width="9" style="2"/>
    <col min="5382" max="5382" width="4.25" style="2" bestFit="1" customWidth="1"/>
    <col min="5383" max="5383" width="13.625" style="2" customWidth="1"/>
    <col min="5384" max="5387" width="7.125" style="2" customWidth="1"/>
    <col min="5388" max="5388" width="18" style="2" customWidth="1"/>
    <col min="5389" max="5389" width="5.375" style="2" customWidth="1"/>
    <col min="5390" max="5390" width="17.375" style="2" customWidth="1"/>
    <col min="5391" max="5391" width="5.375" style="2" customWidth="1"/>
    <col min="5392" max="5392" width="21.375" style="2" customWidth="1"/>
    <col min="5393" max="5393" width="5.375" style="2" customWidth="1"/>
    <col min="5394" max="5394" width="18.5" style="2" customWidth="1"/>
    <col min="5395" max="5395" width="6.25" style="2" customWidth="1"/>
    <col min="5396" max="5396" width="16.875" style="2" customWidth="1"/>
    <col min="5397" max="5397" width="5.375" style="2" customWidth="1"/>
    <col min="5398" max="5398" width="18.875" style="2" customWidth="1"/>
    <col min="5399" max="5399" width="5.375" style="2" customWidth="1"/>
    <col min="5400" max="5400" width="18" style="2" customWidth="1"/>
    <col min="5401" max="5401" width="5.375" style="2" customWidth="1"/>
    <col min="5402" max="5402" width="18.875" style="2" customWidth="1"/>
    <col min="5403" max="5403" width="5.375" style="2" customWidth="1"/>
    <col min="5404" max="5404" width="17.75" style="2" customWidth="1"/>
    <col min="5405" max="5405" width="5.375" style="2" customWidth="1"/>
    <col min="5406" max="5406" width="17.75" style="2" customWidth="1"/>
    <col min="5407" max="5407" width="5.375" style="2" customWidth="1"/>
    <col min="5408" max="5411" width="7.125" style="2" customWidth="1"/>
    <col min="5412" max="5412" width="9.125" style="2" customWidth="1"/>
    <col min="5413" max="5413" width="16.5" style="2" customWidth="1"/>
    <col min="5414" max="5414" width="5.375" style="2" customWidth="1"/>
    <col min="5415" max="5415" width="16.5" style="2" customWidth="1"/>
    <col min="5416" max="5416" width="5.375" style="2" customWidth="1"/>
    <col min="5417" max="5417" width="16.5" style="2" customWidth="1"/>
    <col min="5418" max="5418" width="5.375" style="2" customWidth="1"/>
    <col min="5419" max="5419" width="21.375" style="2" customWidth="1"/>
    <col min="5420" max="5420" width="5.375" style="2" customWidth="1"/>
    <col min="5421" max="5421" width="19" style="2" customWidth="1"/>
    <col min="5422" max="5422" width="5.375" style="2" customWidth="1"/>
    <col min="5423" max="5423" width="20.75" style="2" customWidth="1"/>
    <col min="5424" max="5424" width="5.375" style="2" customWidth="1"/>
    <col min="5425" max="5425" width="19.625" style="2" customWidth="1"/>
    <col min="5426" max="5426" width="6.375" style="2" customWidth="1"/>
    <col min="5427" max="5427" width="14.375" style="2" customWidth="1"/>
    <col min="5428" max="5428" width="5.375" style="2" customWidth="1"/>
    <col min="5429" max="5429" width="6.375" style="2" customWidth="1"/>
    <col min="5430" max="5430" width="7.75" style="2" customWidth="1"/>
    <col min="5431" max="5432" width="7.125" style="2" customWidth="1"/>
    <col min="5433" max="5433" width="10.875" style="2" customWidth="1"/>
    <col min="5434" max="5637" width="9" style="2"/>
    <col min="5638" max="5638" width="4.25" style="2" bestFit="1" customWidth="1"/>
    <col min="5639" max="5639" width="13.625" style="2" customWidth="1"/>
    <col min="5640" max="5643" width="7.125" style="2" customWidth="1"/>
    <col min="5644" max="5644" width="18" style="2" customWidth="1"/>
    <col min="5645" max="5645" width="5.375" style="2" customWidth="1"/>
    <col min="5646" max="5646" width="17.375" style="2" customWidth="1"/>
    <col min="5647" max="5647" width="5.375" style="2" customWidth="1"/>
    <col min="5648" max="5648" width="21.375" style="2" customWidth="1"/>
    <col min="5649" max="5649" width="5.375" style="2" customWidth="1"/>
    <col min="5650" max="5650" width="18.5" style="2" customWidth="1"/>
    <col min="5651" max="5651" width="6.25" style="2" customWidth="1"/>
    <col min="5652" max="5652" width="16.875" style="2" customWidth="1"/>
    <col min="5653" max="5653" width="5.375" style="2" customWidth="1"/>
    <col min="5654" max="5654" width="18.875" style="2" customWidth="1"/>
    <col min="5655" max="5655" width="5.375" style="2" customWidth="1"/>
    <col min="5656" max="5656" width="18" style="2" customWidth="1"/>
    <col min="5657" max="5657" width="5.375" style="2" customWidth="1"/>
    <col min="5658" max="5658" width="18.875" style="2" customWidth="1"/>
    <col min="5659" max="5659" width="5.375" style="2" customWidth="1"/>
    <col min="5660" max="5660" width="17.75" style="2" customWidth="1"/>
    <col min="5661" max="5661" width="5.375" style="2" customWidth="1"/>
    <col min="5662" max="5662" width="17.75" style="2" customWidth="1"/>
    <col min="5663" max="5663" width="5.375" style="2" customWidth="1"/>
    <col min="5664" max="5667" width="7.125" style="2" customWidth="1"/>
    <col min="5668" max="5668" width="9.125" style="2" customWidth="1"/>
    <col min="5669" max="5669" width="16.5" style="2" customWidth="1"/>
    <col min="5670" max="5670" width="5.375" style="2" customWidth="1"/>
    <col min="5671" max="5671" width="16.5" style="2" customWidth="1"/>
    <col min="5672" max="5672" width="5.375" style="2" customWidth="1"/>
    <col min="5673" max="5673" width="16.5" style="2" customWidth="1"/>
    <col min="5674" max="5674" width="5.375" style="2" customWidth="1"/>
    <col min="5675" max="5675" width="21.375" style="2" customWidth="1"/>
    <col min="5676" max="5676" width="5.375" style="2" customWidth="1"/>
    <col min="5677" max="5677" width="19" style="2" customWidth="1"/>
    <col min="5678" max="5678" width="5.375" style="2" customWidth="1"/>
    <col min="5679" max="5679" width="20.75" style="2" customWidth="1"/>
    <col min="5680" max="5680" width="5.375" style="2" customWidth="1"/>
    <col min="5681" max="5681" width="19.625" style="2" customWidth="1"/>
    <col min="5682" max="5682" width="6.375" style="2" customWidth="1"/>
    <col min="5683" max="5683" width="14.375" style="2" customWidth="1"/>
    <col min="5684" max="5684" width="5.375" style="2" customWidth="1"/>
    <col min="5685" max="5685" width="6.375" style="2" customWidth="1"/>
    <col min="5686" max="5686" width="7.75" style="2" customWidth="1"/>
    <col min="5687" max="5688" width="7.125" style="2" customWidth="1"/>
    <col min="5689" max="5689" width="10.875" style="2" customWidth="1"/>
    <col min="5690" max="5893" width="9" style="2"/>
    <col min="5894" max="5894" width="4.25" style="2" bestFit="1" customWidth="1"/>
    <col min="5895" max="5895" width="13.625" style="2" customWidth="1"/>
    <col min="5896" max="5899" width="7.125" style="2" customWidth="1"/>
    <col min="5900" max="5900" width="18" style="2" customWidth="1"/>
    <col min="5901" max="5901" width="5.375" style="2" customWidth="1"/>
    <col min="5902" max="5902" width="17.375" style="2" customWidth="1"/>
    <col min="5903" max="5903" width="5.375" style="2" customWidth="1"/>
    <col min="5904" max="5904" width="21.375" style="2" customWidth="1"/>
    <col min="5905" max="5905" width="5.375" style="2" customWidth="1"/>
    <col min="5906" max="5906" width="18.5" style="2" customWidth="1"/>
    <col min="5907" max="5907" width="6.25" style="2" customWidth="1"/>
    <col min="5908" max="5908" width="16.875" style="2" customWidth="1"/>
    <col min="5909" max="5909" width="5.375" style="2" customWidth="1"/>
    <col min="5910" max="5910" width="18.875" style="2" customWidth="1"/>
    <col min="5911" max="5911" width="5.375" style="2" customWidth="1"/>
    <col min="5912" max="5912" width="18" style="2" customWidth="1"/>
    <col min="5913" max="5913" width="5.375" style="2" customWidth="1"/>
    <col min="5914" max="5914" width="18.875" style="2" customWidth="1"/>
    <col min="5915" max="5915" width="5.375" style="2" customWidth="1"/>
    <col min="5916" max="5916" width="17.75" style="2" customWidth="1"/>
    <col min="5917" max="5917" width="5.375" style="2" customWidth="1"/>
    <col min="5918" max="5918" width="17.75" style="2" customWidth="1"/>
    <col min="5919" max="5919" width="5.375" style="2" customWidth="1"/>
    <col min="5920" max="5923" width="7.125" style="2" customWidth="1"/>
    <col min="5924" max="5924" width="9.125" style="2" customWidth="1"/>
    <col min="5925" max="5925" width="16.5" style="2" customWidth="1"/>
    <col min="5926" max="5926" width="5.375" style="2" customWidth="1"/>
    <col min="5927" max="5927" width="16.5" style="2" customWidth="1"/>
    <col min="5928" max="5928" width="5.375" style="2" customWidth="1"/>
    <col min="5929" max="5929" width="16.5" style="2" customWidth="1"/>
    <col min="5930" max="5930" width="5.375" style="2" customWidth="1"/>
    <col min="5931" max="5931" width="21.375" style="2" customWidth="1"/>
    <col min="5932" max="5932" width="5.375" style="2" customWidth="1"/>
    <col min="5933" max="5933" width="19" style="2" customWidth="1"/>
    <col min="5934" max="5934" width="5.375" style="2" customWidth="1"/>
    <col min="5935" max="5935" width="20.75" style="2" customWidth="1"/>
    <col min="5936" max="5936" width="5.375" style="2" customWidth="1"/>
    <col min="5937" max="5937" width="19.625" style="2" customWidth="1"/>
    <col min="5938" max="5938" width="6.375" style="2" customWidth="1"/>
    <col min="5939" max="5939" width="14.375" style="2" customWidth="1"/>
    <col min="5940" max="5940" width="5.375" style="2" customWidth="1"/>
    <col min="5941" max="5941" width="6.375" style="2" customWidth="1"/>
    <col min="5942" max="5942" width="7.75" style="2" customWidth="1"/>
    <col min="5943" max="5944" width="7.125" style="2" customWidth="1"/>
    <col min="5945" max="5945" width="10.875" style="2" customWidth="1"/>
    <col min="5946" max="6149" width="9" style="2"/>
    <col min="6150" max="6150" width="4.25" style="2" bestFit="1" customWidth="1"/>
    <col min="6151" max="6151" width="13.625" style="2" customWidth="1"/>
    <col min="6152" max="6155" width="7.125" style="2" customWidth="1"/>
    <col min="6156" max="6156" width="18" style="2" customWidth="1"/>
    <col min="6157" max="6157" width="5.375" style="2" customWidth="1"/>
    <col min="6158" max="6158" width="17.375" style="2" customWidth="1"/>
    <col min="6159" max="6159" width="5.375" style="2" customWidth="1"/>
    <col min="6160" max="6160" width="21.375" style="2" customWidth="1"/>
    <col min="6161" max="6161" width="5.375" style="2" customWidth="1"/>
    <col min="6162" max="6162" width="18.5" style="2" customWidth="1"/>
    <col min="6163" max="6163" width="6.25" style="2" customWidth="1"/>
    <col min="6164" max="6164" width="16.875" style="2" customWidth="1"/>
    <col min="6165" max="6165" width="5.375" style="2" customWidth="1"/>
    <col min="6166" max="6166" width="18.875" style="2" customWidth="1"/>
    <col min="6167" max="6167" width="5.375" style="2" customWidth="1"/>
    <col min="6168" max="6168" width="18" style="2" customWidth="1"/>
    <col min="6169" max="6169" width="5.375" style="2" customWidth="1"/>
    <col min="6170" max="6170" width="18.875" style="2" customWidth="1"/>
    <col min="6171" max="6171" width="5.375" style="2" customWidth="1"/>
    <col min="6172" max="6172" width="17.75" style="2" customWidth="1"/>
    <col min="6173" max="6173" width="5.375" style="2" customWidth="1"/>
    <col min="6174" max="6174" width="17.75" style="2" customWidth="1"/>
    <col min="6175" max="6175" width="5.375" style="2" customWidth="1"/>
    <col min="6176" max="6179" width="7.125" style="2" customWidth="1"/>
    <col min="6180" max="6180" width="9.125" style="2" customWidth="1"/>
    <col min="6181" max="6181" width="16.5" style="2" customWidth="1"/>
    <col min="6182" max="6182" width="5.375" style="2" customWidth="1"/>
    <col min="6183" max="6183" width="16.5" style="2" customWidth="1"/>
    <col min="6184" max="6184" width="5.375" style="2" customWidth="1"/>
    <col min="6185" max="6185" width="16.5" style="2" customWidth="1"/>
    <col min="6186" max="6186" width="5.375" style="2" customWidth="1"/>
    <col min="6187" max="6187" width="21.375" style="2" customWidth="1"/>
    <col min="6188" max="6188" width="5.375" style="2" customWidth="1"/>
    <col min="6189" max="6189" width="19" style="2" customWidth="1"/>
    <col min="6190" max="6190" width="5.375" style="2" customWidth="1"/>
    <col min="6191" max="6191" width="20.75" style="2" customWidth="1"/>
    <col min="6192" max="6192" width="5.375" style="2" customWidth="1"/>
    <col min="6193" max="6193" width="19.625" style="2" customWidth="1"/>
    <col min="6194" max="6194" width="6.375" style="2" customWidth="1"/>
    <col min="6195" max="6195" width="14.375" style="2" customWidth="1"/>
    <col min="6196" max="6196" width="5.375" style="2" customWidth="1"/>
    <col min="6197" max="6197" width="6.375" style="2" customWidth="1"/>
    <col min="6198" max="6198" width="7.75" style="2" customWidth="1"/>
    <col min="6199" max="6200" width="7.125" style="2" customWidth="1"/>
    <col min="6201" max="6201" width="10.875" style="2" customWidth="1"/>
    <col min="6202" max="6405" width="9" style="2"/>
    <col min="6406" max="6406" width="4.25" style="2" bestFit="1" customWidth="1"/>
    <col min="6407" max="6407" width="13.625" style="2" customWidth="1"/>
    <col min="6408" max="6411" width="7.125" style="2" customWidth="1"/>
    <col min="6412" max="6412" width="18" style="2" customWidth="1"/>
    <col min="6413" max="6413" width="5.375" style="2" customWidth="1"/>
    <col min="6414" max="6414" width="17.375" style="2" customWidth="1"/>
    <col min="6415" max="6415" width="5.375" style="2" customWidth="1"/>
    <col min="6416" max="6416" width="21.375" style="2" customWidth="1"/>
    <col min="6417" max="6417" width="5.375" style="2" customWidth="1"/>
    <col min="6418" max="6418" width="18.5" style="2" customWidth="1"/>
    <col min="6419" max="6419" width="6.25" style="2" customWidth="1"/>
    <col min="6420" max="6420" width="16.875" style="2" customWidth="1"/>
    <col min="6421" max="6421" width="5.375" style="2" customWidth="1"/>
    <col min="6422" max="6422" width="18.875" style="2" customWidth="1"/>
    <col min="6423" max="6423" width="5.375" style="2" customWidth="1"/>
    <col min="6424" max="6424" width="18" style="2" customWidth="1"/>
    <col min="6425" max="6425" width="5.375" style="2" customWidth="1"/>
    <col min="6426" max="6426" width="18.875" style="2" customWidth="1"/>
    <col min="6427" max="6427" width="5.375" style="2" customWidth="1"/>
    <col min="6428" max="6428" width="17.75" style="2" customWidth="1"/>
    <col min="6429" max="6429" width="5.375" style="2" customWidth="1"/>
    <col min="6430" max="6430" width="17.75" style="2" customWidth="1"/>
    <col min="6431" max="6431" width="5.375" style="2" customWidth="1"/>
    <col min="6432" max="6435" width="7.125" style="2" customWidth="1"/>
    <col min="6436" max="6436" width="9.125" style="2" customWidth="1"/>
    <col min="6437" max="6437" width="16.5" style="2" customWidth="1"/>
    <col min="6438" max="6438" width="5.375" style="2" customWidth="1"/>
    <col min="6439" max="6439" width="16.5" style="2" customWidth="1"/>
    <col min="6440" max="6440" width="5.375" style="2" customWidth="1"/>
    <col min="6441" max="6441" width="16.5" style="2" customWidth="1"/>
    <col min="6442" max="6442" width="5.375" style="2" customWidth="1"/>
    <col min="6443" max="6443" width="21.375" style="2" customWidth="1"/>
    <col min="6444" max="6444" width="5.375" style="2" customWidth="1"/>
    <col min="6445" max="6445" width="19" style="2" customWidth="1"/>
    <col min="6446" max="6446" width="5.375" style="2" customWidth="1"/>
    <col min="6447" max="6447" width="20.75" style="2" customWidth="1"/>
    <col min="6448" max="6448" width="5.375" style="2" customWidth="1"/>
    <col min="6449" max="6449" width="19.625" style="2" customWidth="1"/>
    <col min="6450" max="6450" width="6.375" style="2" customWidth="1"/>
    <col min="6451" max="6451" width="14.375" style="2" customWidth="1"/>
    <col min="6452" max="6452" width="5.375" style="2" customWidth="1"/>
    <col min="6453" max="6453" width="6.375" style="2" customWidth="1"/>
    <col min="6454" max="6454" width="7.75" style="2" customWidth="1"/>
    <col min="6455" max="6456" width="7.125" style="2" customWidth="1"/>
    <col min="6457" max="6457" width="10.875" style="2" customWidth="1"/>
    <col min="6458" max="6661" width="9" style="2"/>
    <col min="6662" max="6662" width="4.25" style="2" bestFit="1" customWidth="1"/>
    <col min="6663" max="6663" width="13.625" style="2" customWidth="1"/>
    <col min="6664" max="6667" width="7.125" style="2" customWidth="1"/>
    <col min="6668" max="6668" width="18" style="2" customWidth="1"/>
    <col min="6669" max="6669" width="5.375" style="2" customWidth="1"/>
    <col min="6670" max="6670" width="17.375" style="2" customWidth="1"/>
    <col min="6671" max="6671" width="5.375" style="2" customWidth="1"/>
    <col min="6672" max="6672" width="21.375" style="2" customWidth="1"/>
    <col min="6673" max="6673" width="5.375" style="2" customWidth="1"/>
    <col min="6674" max="6674" width="18.5" style="2" customWidth="1"/>
    <col min="6675" max="6675" width="6.25" style="2" customWidth="1"/>
    <col min="6676" max="6676" width="16.875" style="2" customWidth="1"/>
    <col min="6677" max="6677" width="5.375" style="2" customWidth="1"/>
    <col min="6678" max="6678" width="18.875" style="2" customWidth="1"/>
    <col min="6679" max="6679" width="5.375" style="2" customWidth="1"/>
    <col min="6680" max="6680" width="18" style="2" customWidth="1"/>
    <col min="6681" max="6681" width="5.375" style="2" customWidth="1"/>
    <col min="6682" max="6682" width="18.875" style="2" customWidth="1"/>
    <col min="6683" max="6683" width="5.375" style="2" customWidth="1"/>
    <col min="6684" max="6684" width="17.75" style="2" customWidth="1"/>
    <col min="6685" max="6685" width="5.375" style="2" customWidth="1"/>
    <col min="6686" max="6686" width="17.75" style="2" customWidth="1"/>
    <col min="6687" max="6687" width="5.375" style="2" customWidth="1"/>
    <col min="6688" max="6691" width="7.125" style="2" customWidth="1"/>
    <col min="6692" max="6692" width="9.125" style="2" customWidth="1"/>
    <col min="6693" max="6693" width="16.5" style="2" customWidth="1"/>
    <col min="6694" max="6694" width="5.375" style="2" customWidth="1"/>
    <col min="6695" max="6695" width="16.5" style="2" customWidth="1"/>
    <col min="6696" max="6696" width="5.375" style="2" customWidth="1"/>
    <col min="6697" max="6697" width="16.5" style="2" customWidth="1"/>
    <col min="6698" max="6698" width="5.375" style="2" customWidth="1"/>
    <col min="6699" max="6699" width="21.375" style="2" customWidth="1"/>
    <col min="6700" max="6700" width="5.375" style="2" customWidth="1"/>
    <col min="6701" max="6701" width="19" style="2" customWidth="1"/>
    <col min="6702" max="6702" width="5.375" style="2" customWidth="1"/>
    <col min="6703" max="6703" width="20.75" style="2" customWidth="1"/>
    <col min="6704" max="6704" width="5.375" style="2" customWidth="1"/>
    <col min="6705" max="6705" width="19.625" style="2" customWidth="1"/>
    <col min="6706" max="6706" width="6.375" style="2" customWidth="1"/>
    <col min="6707" max="6707" width="14.375" style="2" customWidth="1"/>
    <col min="6708" max="6708" width="5.375" style="2" customWidth="1"/>
    <col min="6709" max="6709" width="6.375" style="2" customWidth="1"/>
    <col min="6710" max="6710" width="7.75" style="2" customWidth="1"/>
    <col min="6711" max="6712" width="7.125" style="2" customWidth="1"/>
    <col min="6713" max="6713" width="10.875" style="2" customWidth="1"/>
    <col min="6714" max="6917" width="9" style="2"/>
    <col min="6918" max="6918" width="4.25" style="2" bestFit="1" customWidth="1"/>
    <col min="6919" max="6919" width="13.625" style="2" customWidth="1"/>
    <col min="6920" max="6923" width="7.125" style="2" customWidth="1"/>
    <col min="6924" max="6924" width="18" style="2" customWidth="1"/>
    <col min="6925" max="6925" width="5.375" style="2" customWidth="1"/>
    <col min="6926" max="6926" width="17.375" style="2" customWidth="1"/>
    <col min="6927" max="6927" width="5.375" style="2" customWidth="1"/>
    <col min="6928" max="6928" width="21.375" style="2" customWidth="1"/>
    <col min="6929" max="6929" width="5.375" style="2" customWidth="1"/>
    <col min="6930" max="6930" width="18.5" style="2" customWidth="1"/>
    <col min="6931" max="6931" width="6.25" style="2" customWidth="1"/>
    <col min="6932" max="6932" width="16.875" style="2" customWidth="1"/>
    <col min="6933" max="6933" width="5.375" style="2" customWidth="1"/>
    <col min="6934" max="6934" width="18.875" style="2" customWidth="1"/>
    <col min="6935" max="6935" width="5.375" style="2" customWidth="1"/>
    <col min="6936" max="6936" width="18" style="2" customWidth="1"/>
    <col min="6937" max="6937" width="5.375" style="2" customWidth="1"/>
    <col min="6938" max="6938" width="18.875" style="2" customWidth="1"/>
    <col min="6939" max="6939" width="5.375" style="2" customWidth="1"/>
    <col min="6940" max="6940" width="17.75" style="2" customWidth="1"/>
    <col min="6941" max="6941" width="5.375" style="2" customWidth="1"/>
    <col min="6942" max="6942" width="17.75" style="2" customWidth="1"/>
    <col min="6943" max="6943" width="5.375" style="2" customWidth="1"/>
    <col min="6944" max="6947" width="7.125" style="2" customWidth="1"/>
    <col min="6948" max="6948" width="9.125" style="2" customWidth="1"/>
    <col min="6949" max="6949" width="16.5" style="2" customWidth="1"/>
    <col min="6950" max="6950" width="5.375" style="2" customWidth="1"/>
    <col min="6951" max="6951" width="16.5" style="2" customWidth="1"/>
    <col min="6952" max="6952" width="5.375" style="2" customWidth="1"/>
    <col min="6953" max="6953" width="16.5" style="2" customWidth="1"/>
    <col min="6954" max="6954" width="5.375" style="2" customWidth="1"/>
    <col min="6955" max="6955" width="21.375" style="2" customWidth="1"/>
    <col min="6956" max="6956" width="5.375" style="2" customWidth="1"/>
    <col min="6957" max="6957" width="19" style="2" customWidth="1"/>
    <col min="6958" max="6958" width="5.375" style="2" customWidth="1"/>
    <col min="6959" max="6959" width="20.75" style="2" customWidth="1"/>
    <col min="6960" max="6960" width="5.375" style="2" customWidth="1"/>
    <col min="6961" max="6961" width="19.625" style="2" customWidth="1"/>
    <col min="6962" max="6962" width="6.375" style="2" customWidth="1"/>
    <col min="6963" max="6963" width="14.375" style="2" customWidth="1"/>
    <col min="6964" max="6964" width="5.375" style="2" customWidth="1"/>
    <col min="6965" max="6965" width="6.375" style="2" customWidth="1"/>
    <col min="6966" max="6966" width="7.75" style="2" customWidth="1"/>
    <col min="6967" max="6968" width="7.125" style="2" customWidth="1"/>
    <col min="6969" max="6969" width="10.875" style="2" customWidth="1"/>
    <col min="6970" max="7173" width="9" style="2"/>
    <col min="7174" max="7174" width="4.25" style="2" bestFit="1" customWidth="1"/>
    <col min="7175" max="7175" width="13.625" style="2" customWidth="1"/>
    <col min="7176" max="7179" width="7.125" style="2" customWidth="1"/>
    <col min="7180" max="7180" width="18" style="2" customWidth="1"/>
    <col min="7181" max="7181" width="5.375" style="2" customWidth="1"/>
    <col min="7182" max="7182" width="17.375" style="2" customWidth="1"/>
    <col min="7183" max="7183" width="5.375" style="2" customWidth="1"/>
    <col min="7184" max="7184" width="21.375" style="2" customWidth="1"/>
    <col min="7185" max="7185" width="5.375" style="2" customWidth="1"/>
    <col min="7186" max="7186" width="18.5" style="2" customWidth="1"/>
    <col min="7187" max="7187" width="6.25" style="2" customWidth="1"/>
    <col min="7188" max="7188" width="16.875" style="2" customWidth="1"/>
    <col min="7189" max="7189" width="5.375" style="2" customWidth="1"/>
    <col min="7190" max="7190" width="18.875" style="2" customWidth="1"/>
    <col min="7191" max="7191" width="5.375" style="2" customWidth="1"/>
    <col min="7192" max="7192" width="18" style="2" customWidth="1"/>
    <col min="7193" max="7193" width="5.375" style="2" customWidth="1"/>
    <col min="7194" max="7194" width="18.875" style="2" customWidth="1"/>
    <col min="7195" max="7195" width="5.375" style="2" customWidth="1"/>
    <col min="7196" max="7196" width="17.75" style="2" customWidth="1"/>
    <col min="7197" max="7197" width="5.375" style="2" customWidth="1"/>
    <col min="7198" max="7198" width="17.75" style="2" customWidth="1"/>
    <col min="7199" max="7199" width="5.375" style="2" customWidth="1"/>
    <col min="7200" max="7203" width="7.125" style="2" customWidth="1"/>
    <col min="7204" max="7204" width="9.125" style="2" customWidth="1"/>
    <col min="7205" max="7205" width="16.5" style="2" customWidth="1"/>
    <col min="7206" max="7206" width="5.375" style="2" customWidth="1"/>
    <col min="7207" max="7207" width="16.5" style="2" customWidth="1"/>
    <col min="7208" max="7208" width="5.375" style="2" customWidth="1"/>
    <col min="7209" max="7209" width="16.5" style="2" customWidth="1"/>
    <col min="7210" max="7210" width="5.375" style="2" customWidth="1"/>
    <col min="7211" max="7211" width="21.375" style="2" customWidth="1"/>
    <col min="7212" max="7212" width="5.375" style="2" customWidth="1"/>
    <col min="7213" max="7213" width="19" style="2" customWidth="1"/>
    <col min="7214" max="7214" width="5.375" style="2" customWidth="1"/>
    <col min="7215" max="7215" width="20.75" style="2" customWidth="1"/>
    <col min="7216" max="7216" width="5.375" style="2" customWidth="1"/>
    <col min="7217" max="7217" width="19.625" style="2" customWidth="1"/>
    <col min="7218" max="7218" width="6.375" style="2" customWidth="1"/>
    <col min="7219" max="7219" width="14.375" style="2" customWidth="1"/>
    <col min="7220" max="7220" width="5.375" style="2" customWidth="1"/>
    <col min="7221" max="7221" width="6.375" style="2" customWidth="1"/>
    <col min="7222" max="7222" width="7.75" style="2" customWidth="1"/>
    <col min="7223" max="7224" width="7.125" style="2" customWidth="1"/>
    <col min="7225" max="7225" width="10.875" style="2" customWidth="1"/>
    <col min="7226" max="7429" width="9" style="2"/>
    <col min="7430" max="7430" width="4.25" style="2" bestFit="1" customWidth="1"/>
    <col min="7431" max="7431" width="13.625" style="2" customWidth="1"/>
    <col min="7432" max="7435" width="7.125" style="2" customWidth="1"/>
    <col min="7436" max="7436" width="18" style="2" customWidth="1"/>
    <col min="7437" max="7437" width="5.375" style="2" customWidth="1"/>
    <col min="7438" max="7438" width="17.375" style="2" customWidth="1"/>
    <col min="7439" max="7439" width="5.375" style="2" customWidth="1"/>
    <col min="7440" max="7440" width="21.375" style="2" customWidth="1"/>
    <col min="7441" max="7441" width="5.375" style="2" customWidth="1"/>
    <col min="7442" max="7442" width="18.5" style="2" customWidth="1"/>
    <col min="7443" max="7443" width="6.25" style="2" customWidth="1"/>
    <col min="7444" max="7444" width="16.875" style="2" customWidth="1"/>
    <col min="7445" max="7445" width="5.375" style="2" customWidth="1"/>
    <col min="7446" max="7446" width="18.875" style="2" customWidth="1"/>
    <col min="7447" max="7447" width="5.375" style="2" customWidth="1"/>
    <col min="7448" max="7448" width="18" style="2" customWidth="1"/>
    <col min="7449" max="7449" width="5.375" style="2" customWidth="1"/>
    <col min="7450" max="7450" width="18.875" style="2" customWidth="1"/>
    <col min="7451" max="7451" width="5.375" style="2" customWidth="1"/>
    <col min="7452" max="7452" width="17.75" style="2" customWidth="1"/>
    <col min="7453" max="7453" width="5.375" style="2" customWidth="1"/>
    <col min="7454" max="7454" width="17.75" style="2" customWidth="1"/>
    <col min="7455" max="7455" width="5.375" style="2" customWidth="1"/>
    <col min="7456" max="7459" width="7.125" style="2" customWidth="1"/>
    <col min="7460" max="7460" width="9.125" style="2" customWidth="1"/>
    <col min="7461" max="7461" width="16.5" style="2" customWidth="1"/>
    <col min="7462" max="7462" width="5.375" style="2" customWidth="1"/>
    <col min="7463" max="7463" width="16.5" style="2" customWidth="1"/>
    <col min="7464" max="7464" width="5.375" style="2" customWidth="1"/>
    <col min="7465" max="7465" width="16.5" style="2" customWidth="1"/>
    <col min="7466" max="7466" width="5.375" style="2" customWidth="1"/>
    <col min="7467" max="7467" width="21.375" style="2" customWidth="1"/>
    <col min="7468" max="7468" width="5.375" style="2" customWidth="1"/>
    <col min="7469" max="7469" width="19" style="2" customWidth="1"/>
    <col min="7470" max="7470" width="5.375" style="2" customWidth="1"/>
    <col min="7471" max="7471" width="20.75" style="2" customWidth="1"/>
    <col min="7472" max="7472" width="5.375" style="2" customWidth="1"/>
    <col min="7473" max="7473" width="19.625" style="2" customWidth="1"/>
    <col min="7474" max="7474" width="6.375" style="2" customWidth="1"/>
    <col min="7475" max="7475" width="14.375" style="2" customWidth="1"/>
    <col min="7476" max="7476" width="5.375" style="2" customWidth="1"/>
    <col min="7477" max="7477" width="6.375" style="2" customWidth="1"/>
    <col min="7478" max="7478" width="7.75" style="2" customWidth="1"/>
    <col min="7479" max="7480" width="7.125" style="2" customWidth="1"/>
    <col min="7481" max="7481" width="10.875" style="2" customWidth="1"/>
    <col min="7482" max="7685" width="9" style="2"/>
    <col min="7686" max="7686" width="4.25" style="2" bestFit="1" customWidth="1"/>
    <col min="7687" max="7687" width="13.625" style="2" customWidth="1"/>
    <col min="7688" max="7691" width="7.125" style="2" customWidth="1"/>
    <col min="7692" max="7692" width="18" style="2" customWidth="1"/>
    <col min="7693" max="7693" width="5.375" style="2" customWidth="1"/>
    <col min="7694" max="7694" width="17.375" style="2" customWidth="1"/>
    <col min="7695" max="7695" width="5.375" style="2" customWidth="1"/>
    <col min="7696" max="7696" width="21.375" style="2" customWidth="1"/>
    <col min="7697" max="7697" width="5.375" style="2" customWidth="1"/>
    <col min="7698" max="7698" width="18.5" style="2" customWidth="1"/>
    <col min="7699" max="7699" width="6.25" style="2" customWidth="1"/>
    <col min="7700" max="7700" width="16.875" style="2" customWidth="1"/>
    <col min="7701" max="7701" width="5.375" style="2" customWidth="1"/>
    <col min="7702" max="7702" width="18.875" style="2" customWidth="1"/>
    <col min="7703" max="7703" width="5.375" style="2" customWidth="1"/>
    <col min="7704" max="7704" width="18" style="2" customWidth="1"/>
    <col min="7705" max="7705" width="5.375" style="2" customWidth="1"/>
    <col min="7706" max="7706" width="18.875" style="2" customWidth="1"/>
    <col min="7707" max="7707" width="5.375" style="2" customWidth="1"/>
    <col min="7708" max="7708" width="17.75" style="2" customWidth="1"/>
    <col min="7709" max="7709" width="5.375" style="2" customWidth="1"/>
    <col min="7710" max="7710" width="17.75" style="2" customWidth="1"/>
    <col min="7711" max="7711" width="5.375" style="2" customWidth="1"/>
    <col min="7712" max="7715" width="7.125" style="2" customWidth="1"/>
    <col min="7716" max="7716" width="9.125" style="2" customWidth="1"/>
    <col min="7717" max="7717" width="16.5" style="2" customWidth="1"/>
    <col min="7718" max="7718" width="5.375" style="2" customWidth="1"/>
    <col min="7719" max="7719" width="16.5" style="2" customWidth="1"/>
    <col min="7720" max="7720" width="5.375" style="2" customWidth="1"/>
    <col min="7721" max="7721" width="16.5" style="2" customWidth="1"/>
    <col min="7722" max="7722" width="5.375" style="2" customWidth="1"/>
    <col min="7723" max="7723" width="21.375" style="2" customWidth="1"/>
    <col min="7724" max="7724" width="5.375" style="2" customWidth="1"/>
    <col min="7725" max="7725" width="19" style="2" customWidth="1"/>
    <col min="7726" max="7726" width="5.375" style="2" customWidth="1"/>
    <col min="7727" max="7727" width="20.75" style="2" customWidth="1"/>
    <col min="7728" max="7728" width="5.375" style="2" customWidth="1"/>
    <col min="7729" max="7729" width="19.625" style="2" customWidth="1"/>
    <col min="7730" max="7730" width="6.375" style="2" customWidth="1"/>
    <col min="7731" max="7731" width="14.375" style="2" customWidth="1"/>
    <col min="7732" max="7732" width="5.375" style="2" customWidth="1"/>
    <col min="7733" max="7733" width="6.375" style="2" customWidth="1"/>
    <col min="7734" max="7734" width="7.75" style="2" customWidth="1"/>
    <col min="7735" max="7736" width="7.125" style="2" customWidth="1"/>
    <col min="7737" max="7737" width="10.875" style="2" customWidth="1"/>
    <col min="7738" max="7941" width="9" style="2"/>
    <col min="7942" max="7942" width="4.25" style="2" bestFit="1" customWidth="1"/>
    <col min="7943" max="7943" width="13.625" style="2" customWidth="1"/>
    <col min="7944" max="7947" width="7.125" style="2" customWidth="1"/>
    <col min="7948" max="7948" width="18" style="2" customWidth="1"/>
    <col min="7949" max="7949" width="5.375" style="2" customWidth="1"/>
    <col min="7950" max="7950" width="17.375" style="2" customWidth="1"/>
    <col min="7951" max="7951" width="5.375" style="2" customWidth="1"/>
    <col min="7952" max="7952" width="21.375" style="2" customWidth="1"/>
    <col min="7953" max="7953" width="5.375" style="2" customWidth="1"/>
    <col min="7954" max="7954" width="18.5" style="2" customWidth="1"/>
    <col min="7955" max="7955" width="6.25" style="2" customWidth="1"/>
    <col min="7956" max="7956" width="16.875" style="2" customWidth="1"/>
    <col min="7957" max="7957" width="5.375" style="2" customWidth="1"/>
    <col min="7958" max="7958" width="18.875" style="2" customWidth="1"/>
    <col min="7959" max="7959" width="5.375" style="2" customWidth="1"/>
    <col min="7960" max="7960" width="18" style="2" customWidth="1"/>
    <col min="7961" max="7961" width="5.375" style="2" customWidth="1"/>
    <col min="7962" max="7962" width="18.875" style="2" customWidth="1"/>
    <col min="7963" max="7963" width="5.375" style="2" customWidth="1"/>
    <col min="7964" max="7964" width="17.75" style="2" customWidth="1"/>
    <col min="7965" max="7965" width="5.375" style="2" customWidth="1"/>
    <col min="7966" max="7966" width="17.75" style="2" customWidth="1"/>
    <col min="7967" max="7967" width="5.375" style="2" customWidth="1"/>
    <col min="7968" max="7971" width="7.125" style="2" customWidth="1"/>
    <col min="7972" max="7972" width="9.125" style="2" customWidth="1"/>
    <col min="7973" max="7973" width="16.5" style="2" customWidth="1"/>
    <col min="7974" max="7974" width="5.375" style="2" customWidth="1"/>
    <col min="7975" max="7975" width="16.5" style="2" customWidth="1"/>
    <col min="7976" max="7976" width="5.375" style="2" customWidth="1"/>
    <col min="7977" max="7977" width="16.5" style="2" customWidth="1"/>
    <col min="7978" max="7978" width="5.375" style="2" customWidth="1"/>
    <col min="7979" max="7979" width="21.375" style="2" customWidth="1"/>
    <col min="7980" max="7980" width="5.375" style="2" customWidth="1"/>
    <col min="7981" max="7981" width="19" style="2" customWidth="1"/>
    <col min="7982" max="7982" width="5.375" style="2" customWidth="1"/>
    <col min="7983" max="7983" width="20.75" style="2" customWidth="1"/>
    <col min="7984" max="7984" width="5.375" style="2" customWidth="1"/>
    <col min="7985" max="7985" width="19.625" style="2" customWidth="1"/>
    <col min="7986" max="7986" width="6.375" style="2" customWidth="1"/>
    <col min="7987" max="7987" width="14.375" style="2" customWidth="1"/>
    <col min="7988" max="7988" width="5.375" style="2" customWidth="1"/>
    <col min="7989" max="7989" width="6.375" style="2" customWidth="1"/>
    <col min="7990" max="7990" width="7.75" style="2" customWidth="1"/>
    <col min="7991" max="7992" width="7.125" style="2" customWidth="1"/>
    <col min="7993" max="7993" width="10.875" style="2" customWidth="1"/>
    <col min="7994" max="8197" width="9" style="2"/>
    <col min="8198" max="8198" width="4.25" style="2" bestFit="1" customWidth="1"/>
    <col min="8199" max="8199" width="13.625" style="2" customWidth="1"/>
    <col min="8200" max="8203" width="7.125" style="2" customWidth="1"/>
    <col min="8204" max="8204" width="18" style="2" customWidth="1"/>
    <col min="8205" max="8205" width="5.375" style="2" customWidth="1"/>
    <col min="8206" max="8206" width="17.375" style="2" customWidth="1"/>
    <col min="8207" max="8207" width="5.375" style="2" customWidth="1"/>
    <col min="8208" max="8208" width="21.375" style="2" customWidth="1"/>
    <col min="8209" max="8209" width="5.375" style="2" customWidth="1"/>
    <col min="8210" max="8210" width="18.5" style="2" customWidth="1"/>
    <col min="8211" max="8211" width="6.25" style="2" customWidth="1"/>
    <col min="8212" max="8212" width="16.875" style="2" customWidth="1"/>
    <col min="8213" max="8213" width="5.375" style="2" customWidth="1"/>
    <col min="8214" max="8214" width="18.875" style="2" customWidth="1"/>
    <col min="8215" max="8215" width="5.375" style="2" customWidth="1"/>
    <col min="8216" max="8216" width="18" style="2" customWidth="1"/>
    <col min="8217" max="8217" width="5.375" style="2" customWidth="1"/>
    <col min="8218" max="8218" width="18.875" style="2" customWidth="1"/>
    <col min="8219" max="8219" width="5.375" style="2" customWidth="1"/>
    <col min="8220" max="8220" width="17.75" style="2" customWidth="1"/>
    <col min="8221" max="8221" width="5.375" style="2" customWidth="1"/>
    <col min="8222" max="8222" width="17.75" style="2" customWidth="1"/>
    <col min="8223" max="8223" width="5.375" style="2" customWidth="1"/>
    <col min="8224" max="8227" width="7.125" style="2" customWidth="1"/>
    <col min="8228" max="8228" width="9.125" style="2" customWidth="1"/>
    <col min="8229" max="8229" width="16.5" style="2" customWidth="1"/>
    <col min="8230" max="8230" width="5.375" style="2" customWidth="1"/>
    <col min="8231" max="8231" width="16.5" style="2" customWidth="1"/>
    <col min="8232" max="8232" width="5.375" style="2" customWidth="1"/>
    <col min="8233" max="8233" width="16.5" style="2" customWidth="1"/>
    <col min="8234" max="8234" width="5.375" style="2" customWidth="1"/>
    <col min="8235" max="8235" width="21.375" style="2" customWidth="1"/>
    <col min="8236" max="8236" width="5.375" style="2" customWidth="1"/>
    <col min="8237" max="8237" width="19" style="2" customWidth="1"/>
    <col min="8238" max="8238" width="5.375" style="2" customWidth="1"/>
    <col min="8239" max="8239" width="20.75" style="2" customWidth="1"/>
    <col min="8240" max="8240" width="5.375" style="2" customWidth="1"/>
    <col min="8241" max="8241" width="19.625" style="2" customWidth="1"/>
    <col min="8242" max="8242" width="6.375" style="2" customWidth="1"/>
    <col min="8243" max="8243" width="14.375" style="2" customWidth="1"/>
    <col min="8244" max="8244" width="5.375" style="2" customWidth="1"/>
    <col min="8245" max="8245" width="6.375" style="2" customWidth="1"/>
    <col min="8246" max="8246" width="7.75" style="2" customWidth="1"/>
    <col min="8247" max="8248" width="7.125" style="2" customWidth="1"/>
    <col min="8249" max="8249" width="10.875" style="2" customWidth="1"/>
    <col min="8250" max="8453" width="9" style="2"/>
    <col min="8454" max="8454" width="4.25" style="2" bestFit="1" customWidth="1"/>
    <col min="8455" max="8455" width="13.625" style="2" customWidth="1"/>
    <col min="8456" max="8459" width="7.125" style="2" customWidth="1"/>
    <col min="8460" max="8460" width="18" style="2" customWidth="1"/>
    <col min="8461" max="8461" width="5.375" style="2" customWidth="1"/>
    <col min="8462" max="8462" width="17.375" style="2" customWidth="1"/>
    <col min="8463" max="8463" width="5.375" style="2" customWidth="1"/>
    <col min="8464" max="8464" width="21.375" style="2" customWidth="1"/>
    <col min="8465" max="8465" width="5.375" style="2" customWidth="1"/>
    <col min="8466" max="8466" width="18.5" style="2" customWidth="1"/>
    <col min="8467" max="8467" width="6.25" style="2" customWidth="1"/>
    <col min="8468" max="8468" width="16.875" style="2" customWidth="1"/>
    <col min="8469" max="8469" width="5.375" style="2" customWidth="1"/>
    <col min="8470" max="8470" width="18.875" style="2" customWidth="1"/>
    <col min="8471" max="8471" width="5.375" style="2" customWidth="1"/>
    <col min="8472" max="8472" width="18" style="2" customWidth="1"/>
    <col min="8473" max="8473" width="5.375" style="2" customWidth="1"/>
    <col min="8474" max="8474" width="18.875" style="2" customWidth="1"/>
    <col min="8475" max="8475" width="5.375" style="2" customWidth="1"/>
    <col min="8476" max="8476" width="17.75" style="2" customWidth="1"/>
    <col min="8477" max="8477" width="5.375" style="2" customWidth="1"/>
    <col min="8478" max="8478" width="17.75" style="2" customWidth="1"/>
    <col min="8479" max="8479" width="5.375" style="2" customWidth="1"/>
    <col min="8480" max="8483" width="7.125" style="2" customWidth="1"/>
    <col min="8484" max="8484" width="9.125" style="2" customWidth="1"/>
    <col min="8485" max="8485" width="16.5" style="2" customWidth="1"/>
    <col min="8486" max="8486" width="5.375" style="2" customWidth="1"/>
    <col min="8487" max="8487" width="16.5" style="2" customWidth="1"/>
    <col min="8488" max="8488" width="5.375" style="2" customWidth="1"/>
    <col min="8489" max="8489" width="16.5" style="2" customWidth="1"/>
    <col min="8490" max="8490" width="5.375" style="2" customWidth="1"/>
    <col min="8491" max="8491" width="21.375" style="2" customWidth="1"/>
    <col min="8492" max="8492" width="5.375" style="2" customWidth="1"/>
    <col min="8493" max="8493" width="19" style="2" customWidth="1"/>
    <col min="8494" max="8494" width="5.375" style="2" customWidth="1"/>
    <col min="8495" max="8495" width="20.75" style="2" customWidth="1"/>
    <col min="8496" max="8496" width="5.375" style="2" customWidth="1"/>
    <col min="8497" max="8497" width="19.625" style="2" customWidth="1"/>
    <col min="8498" max="8498" width="6.375" style="2" customWidth="1"/>
    <col min="8499" max="8499" width="14.375" style="2" customWidth="1"/>
    <col min="8500" max="8500" width="5.375" style="2" customWidth="1"/>
    <col min="8501" max="8501" width="6.375" style="2" customWidth="1"/>
    <col min="8502" max="8502" width="7.75" style="2" customWidth="1"/>
    <col min="8503" max="8504" width="7.125" style="2" customWidth="1"/>
    <col min="8505" max="8505" width="10.875" style="2" customWidth="1"/>
    <col min="8506" max="8709" width="9" style="2"/>
    <col min="8710" max="8710" width="4.25" style="2" bestFit="1" customWidth="1"/>
    <col min="8711" max="8711" width="13.625" style="2" customWidth="1"/>
    <col min="8712" max="8715" width="7.125" style="2" customWidth="1"/>
    <col min="8716" max="8716" width="18" style="2" customWidth="1"/>
    <col min="8717" max="8717" width="5.375" style="2" customWidth="1"/>
    <col min="8718" max="8718" width="17.375" style="2" customWidth="1"/>
    <col min="8719" max="8719" width="5.375" style="2" customWidth="1"/>
    <col min="8720" max="8720" width="21.375" style="2" customWidth="1"/>
    <col min="8721" max="8721" width="5.375" style="2" customWidth="1"/>
    <col min="8722" max="8722" width="18.5" style="2" customWidth="1"/>
    <col min="8723" max="8723" width="6.25" style="2" customWidth="1"/>
    <col min="8724" max="8724" width="16.875" style="2" customWidth="1"/>
    <col min="8725" max="8725" width="5.375" style="2" customWidth="1"/>
    <col min="8726" max="8726" width="18.875" style="2" customWidth="1"/>
    <col min="8727" max="8727" width="5.375" style="2" customWidth="1"/>
    <col min="8728" max="8728" width="18" style="2" customWidth="1"/>
    <col min="8729" max="8729" width="5.375" style="2" customWidth="1"/>
    <col min="8730" max="8730" width="18.875" style="2" customWidth="1"/>
    <col min="8731" max="8731" width="5.375" style="2" customWidth="1"/>
    <col min="8732" max="8732" width="17.75" style="2" customWidth="1"/>
    <col min="8733" max="8733" width="5.375" style="2" customWidth="1"/>
    <col min="8734" max="8734" width="17.75" style="2" customWidth="1"/>
    <col min="8735" max="8735" width="5.375" style="2" customWidth="1"/>
    <col min="8736" max="8739" width="7.125" style="2" customWidth="1"/>
    <col min="8740" max="8740" width="9.125" style="2" customWidth="1"/>
    <col min="8741" max="8741" width="16.5" style="2" customWidth="1"/>
    <col min="8742" max="8742" width="5.375" style="2" customWidth="1"/>
    <col min="8743" max="8743" width="16.5" style="2" customWidth="1"/>
    <col min="8744" max="8744" width="5.375" style="2" customWidth="1"/>
    <col min="8745" max="8745" width="16.5" style="2" customWidth="1"/>
    <col min="8746" max="8746" width="5.375" style="2" customWidth="1"/>
    <col min="8747" max="8747" width="21.375" style="2" customWidth="1"/>
    <col min="8748" max="8748" width="5.375" style="2" customWidth="1"/>
    <col min="8749" max="8749" width="19" style="2" customWidth="1"/>
    <col min="8750" max="8750" width="5.375" style="2" customWidth="1"/>
    <col min="8751" max="8751" width="20.75" style="2" customWidth="1"/>
    <col min="8752" max="8752" width="5.375" style="2" customWidth="1"/>
    <col min="8753" max="8753" width="19.625" style="2" customWidth="1"/>
    <col min="8754" max="8754" width="6.375" style="2" customWidth="1"/>
    <col min="8755" max="8755" width="14.375" style="2" customWidth="1"/>
    <col min="8756" max="8756" width="5.375" style="2" customWidth="1"/>
    <col min="8757" max="8757" width="6.375" style="2" customWidth="1"/>
    <col min="8758" max="8758" width="7.75" style="2" customWidth="1"/>
    <col min="8759" max="8760" width="7.125" style="2" customWidth="1"/>
    <col min="8761" max="8761" width="10.875" style="2" customWidth="1"/>
    <col min="8762" max="8965" width="9" style="2"/>
    <col min="8966" max="8966" width="4.25" style="2" bestFit="1" customWidth="1"/>
    <col min="8967" max="8967" width="13.625" style="2" customWidth="1"/>
    <col min="8968" max="8971" width="7.125" style="2" customWidth="1"/>
    <col min="8972" max="8972" width="18" style="2" customWidth="1"/>
    <col min="8973" max="8973" width="5.375" style="2" customWidth="1"/>
    <col min="8974" max="8974" width="17.375" style="2" customWidth="1"/>
    <col min="8975" max="8975" width="5.375" style="2" customWidth="1"/>
    <col min="8976" max="8976" width="21.375" style="2" customWidth="1"/>
    <col min="8977" max="8977" width="5.375" style="2" customWidth="1"/>
    <col min="8978" max="8978" width="18.5" style="2" customWidth="1"/>
    <col min="8979" max="8979" width="6.25" style="2" customWidth="1"/>
    <col min="8980" max="8980" width="16.875" style="2" customWidth="1"/>
    <col min="8981" max="8981" width="5.375" style="2" customWidth="1"/>
    <col min="8982" max="8982" width="18.875" style="2" customWidth="1"/>
    <col min="8983" max="8983" width="5.375" style="2" customWidth="1"/>
    <col min="8984" max="8984" width="18" style="2" customWidth="1"/>
    <col min="8985" max="8985" width="5.375" style="2" customWidth="1"/>
    <col min="8986" max="8986" width="18.875" style="2" customWidth="1"/>
    <col min="8987" max="8987" width="5.375" style="2" customWidth="1"/>
    <col min="8988" max="8988" width="17.75" style="2" customWidth="1"/>
    <col min="8989" max="8989" width="5.375" style="2" customWidth="1"/>
    <col min="8990" max="8990" width="17.75" style="2" customWidth="1"/>
    <col min="8991" max="8991" width="5.375" style="2" customWidth="1"/>
    <col min="8992" max="8995" width="7.125" style="2" customWidth="1"/>
    <col min="8996" max="8996" width="9.125" style="2" customWidth="1"/>
    <col min="8997" max="8997" width="16.5" style="2" customWidth="1"/>
    <col min="8998" max="8998" width="5.375" style="2" customWidth="1"/>
    <col min="8999" max="8999" width="16.5" style="2" customWidth="1"/>
    <col min="9000" max="9000" width="5.375" style="2" customWidth="1"/>
    <col min="9001" max="9001" width="16.5" style="2" customWidth="1"/>
    <col min="9002" max="9002" width="5.375" style="2" customWidth="1"/>
    <col min="9003" max="9003" width="21.375" style="2" customWidth="1"/>
    <col min="9004" max="9004" width="5.375" style="2" customWidth="1"/>
    <col min="9005" max="9005" width="19" style="2" customWidth="1"/>
    <col min="9006" max="9006" width="5.375" style="2" customWidth="1"/>
    <col min="9007" max="9007" width="20.75" style="2" customWidth="1"/>
    <col min="9008" max="9008" width="5.375" style="2" customWidth="1"/>
    <col min="9009" max="9009" width="19.625" style="2" customWidth="1"/>
    <col min="9010" max="9010" width="6.375" style="2" customWidth="1"/>
    <col min="9011" max="9011" width="14.375" style="2" customWidth="1"/>
    <col min="9012" max="9012" width="5.375" style="2" customWidth="1"/>
    <col min="9013" max="9013" width="6.375" style="2" customWidth="1"/>
    <col min="9014" max="9014" width="7.75" style="2" customWidth="1"/>
    <col min="9015" max="9016" width="7.125" style="2" customWidth="1"/>
    <col min="9017" max="9017" width="10.875" style="2" customWidth="1"/>
    <col min="9018" max="9221" width="9" style="2"/>
    <col min="9222" max="9222" width="4.25" style="2" bestFit="1" customWidth="1"/>
    <col min="9223" max="9223" width="13.625" style="2" customWidth="1"/>
    <col min="9224" max="9227" width="7.125" style="2" customWidth="1"/>
    <col min="9228" max="9228" width="18" style="2" customWidth="1"/>
    <col min="9229" max="9229" width="5.375" style="2" customWidth="1"/>
    <col min="9230" max="9230" width="17.375" style="2" customWidth="1"/>
    <col min="9231" max="9231" width="5.375" style="2" customWidth="1"/>
    <col min="9232" max="9232" width="21.375" style="2" customWidth="1"/>
    <col min="9233" max="9233" width="5.375" style="2" customWidth="1"/>
    <col min="9234" max="9234" width="18.5" style="2" customWidth="1"/>
    <col min="9235" max="9235" width="6.25" style="2" customWidth="1"/>
    <col min="9236" max="9236" width="16.875" style="2" customWidth="1"/>
    <col min="9237" max="9237" width="5.375" style="2" customWidth="1"/>
    <col min="9238" max="9238" width="18.875" style="2" customWidth="1"/>
    <col min="9239" max="9239" width="5.375" style="2" customWidth="1"/>
    <col min="9240" max="9240" width="18" style="2" customWidth="1"/>
    <col min="9241" max="9241" width="5.375" style="2" customWidth="1"/>
    <col min="9242" max="9242" width="18.875" style="2" customWidth="1"/>
    <col min="9243" max="9243" width="5.375" style="2" customWidth="1"/>
    <col min="9244" max="9244" width="17.75" style="2" customWidth="1"/>
    <col min="9245" max="9245" width="5.375" style="2" customWidth="1"/>
    <col min="9246" max="9246" width="17.75" style="2" customWidth="1"/>
    <col min="9247" max="9247" width="5.375" style="2" customWidth="1"/>
    <col min="9248" max="9251" width="7.125" style="2" customWidth="1"/>
    <col min="9252" max="9252" width="9.125" style="2" customWidth="1"/>
    <col min="9253" max="9253" width="16.5" style="2" customWidth="1"/>
    <col min="9254" max="9254" width="5.375" style="2" customWidth="1"/>
    <col min="9255" max="9255" width="16.5" style="2" customWidth="1"/>
    <col min="9256" max="9256" width="5.375" style="2" customWidth="1"/>
    <col min="9257" max="9257" width="16.5" style="2" customWidth="1"/>
    <col min="9258" max="9258" width="5.375" style="2" customWidth="1"/>
    <col min="9259" max="9259" width="21.375" style="2" customWidth="1"/>
    <col min="9260" max="9260" width="5.375" style="2" customWidth="1"/>
    <col min="9261" max="9261" width="19" style="2" customWidth="1"/>
    <col min="9262" max="9262" width="5.375" style="2" customWidth="1"/>
    <col min="9263" max="9263" width="20.75" style="2" customWidth="1"/>
    <col min="9264" max="9264" width="5.375" style="2" customWidth="1"/>
    <col min="9265" max="9265" width="19.625" style="2" customWidth="1"/>
    <col min="9266" max="9266" width="6.375" style="2" customWidth="1"/>
    <col min="9267" max="9267" width="14.375" style="2" customWidth="1"/>
    <col min="9268" max="9268" width="5.375" style="2" customWidth="1"/>
    <col min="9269" max="9269" width="6.375" style="2" customWidth="1"/>
    <col min="9270" max="9270" width="7.75" style="2" customWidth="1"/>
    <col min="9271" max="9272" width="7.125" style="2" customWidth="1"/>
    <col min="9273" max="9273" width="10.875" style="2" customWidth="1"/>
    <col min="9274" max="9477" width="9" style="2"/>
    <col min="9478" max="9478" width="4.25" style="2" bestFit="1" customWidth="1"/>
    <col min="9479" max="9479" width="13.625" style="2" customWidth="1"/>
    <col min="9480" max="9483" width="7.125" style="2" customWidth="1"/>
    <col min="9484" max="9484" width="18" style="2" customWidth="1"/>
    <col min="9485" max="9485" width="5.375" style="2" customWidth="1"/>
    <col min="9486" max="9486" width="17.375" style="2" customWidth="1"/>
    <col min="9487" max="9487" width="5.375" style="2" customWidth="1"/>
    <col min="9488" max="9488" width="21.375" style="2" customWidth="1"/>
    <col min="9489" max="9489" width="5.375" style="2" customWidth="1"/>
    <col min="9490" max="9490" width="18.5" style="2" customWidth="1"/>
    <col min="9491" max="9491" width="6.25" style="2" customWidth="1"/>
    <col min="9492" max="9492" width="16.875" style="2" customWidth="1"/>
    <col min="9493" max="9493" width="5.375" style="2" customWidth="1"/>
    <col min="9494" max="9494" width="18.875" style="2" customWidth="1"/>
    <col min="9495" max="9495" width="5.375" style="2" customWidth="1"/>
    <col min="9496" max="9496" width="18" style="2" customWidth="1"/>
    <col min="9497" max="9497" width="5.375" style="2" customWidth="1"/>
    <col min="9498" max="9498" width="18.875" style="2" customWidth="1"/>
    <col min="9499" max="9499" width="5.375" style="2" customWidth="1"/>
    <col min="9500" max="9500" width="17.75" style="2" customWidth="1"/>
    <col min="9501" max="9501" width="5.375" style="2" customWidth="1"/>
    <col min="9502" max="9502" width="17.75" style="2" customWidth="1"/>
    <col min="9503" max="9503" width="5.375" style="2" customWidth="1"/>
    <col min="9504" max="9507" width="7.125" style="2" customWidth="1"/>
    <col min="9508" max="9508" width="9.125" style="2" customWidth="1"/>
    <col min="9509" max="9509" width="16.5" style="2" customWidth="1"/>
    <col min="9510" max="9510" width="5.375" style="2" customWidth="1"/>
    <col min="9511" max="9511" width="16.5" style="2" customWidth="1"/>
    <col min="9512" max="9512" width="5.375" style="2" customWidth="1"/>
    <col min="9513" max="9513" width="16.5" style="2" customWidth="1"/>
    <col min="9514" max="9514" width="5.375" style="2" customWidth="1"/>
    <col min="9515" max="9515" width="21.375" style="2" customWidth="1"/>
    <col min="9516" max="9516" width="5.375" style="2" customWidth="1"/>
    <col min="9517" max="9517" width="19" style="2" customWidth="1"/>
    <col min="9518" max="9518" width="5.375" style="2" customWidth="1"/>
    <col min="9519" max="9519" width="20.75" style="2" customWidth="1"/>
    <col min="9520" max="9520" width="5.375" style="2" customWidth="1"/>
    <col min="9521" max="9521" width="19.625" style="2" customWidth="1"/>
    <col min="9522" max="9522" width="6.375" style="2" customWidth="1"/>
    <col min="9523" max="9523" width="14.375" style="2" customWidth="1"/>
    <col min="9524" max="9524" width="5.375" style="2" customWidth="1"/>
    <col min="9525" max="9525" width="6.375" style="2" customWidth="1"/>
    <col min="9526" max="9526" width="7.75" style="2" customWidth="1"/>
    <col min="9527" max="9528" width="7.125" style="2" customWidth="1"/>
    <col min="9529" max="9529" width="10.875" style="2" customWidth="1"/>
    <col min="9530" max="9733" width="9" style="2"/>
    <col min="9734" max="9734" width="4.25" style="2" bestFit="1" customWidth="1"/>
    <col min="9735" max="9735" width="13.625" style="2" customWidth="1"/>
    <col min="9736" max="9739" width="7.125" style="2" customWidth="1"/>
    <col min="9740" max="9740" width="18" style="2" customWidth="1"/>
    <col min="9741" max="9741" width="5.375" style="2" customWidth="1"/>
    <col min="9742" max="9742" width="17.375" style="2" customWidth="1"/>
    <col min="9743" max="9743" width="5.375" style="2" customWidth="1"/>
    <col min="9744" max="9744" width="21.375" style="2" customWidth="1"/>
    <col min="9745" max="9745" width="5.375" style="2" customWidth="1"/>
    <col min="9746" max="9746" width="18.5" style="2" customWidth="1"/>
    <col min="9747" max="9747" width="6.25" style="2" customWidth="1"/>
    <col min="9748" max="9748" width="16.875" style="2" customWidth="1"/>
    <col min="9749" max="9749" width="5.375" style="2" customWidth="1"/>
    <col min="9750" max="9750" width="18.875" style="2" customWidth="1"/>
    <col min="9751" max="9751" width="5.375" style="2" customWidth="1"/>
    <col min="9752" max="9752" width="18" style="2" customWidth="1"/>
    <col min="9753" max="9753" width="5.375" style="2" customWidth="1"/>
    <col min="9754" max="9754" width="18.875" style="2" customWidth="1"/>
    <col min="9755" max="9755" width="5.375" style="2" customWidth="1"/>
    <col min="9756" max="9756" width="17.75" style="2" customWidth="1"/>
    <col min="9757" max="9757" width="5.375" style="2" customWidth="1"/>
    <col min="9758" max="9758" width="17.75" style="2" customWidth="1"/>
    <col min="9759" max="9759" width="5.375" style="2" customWidth="1"/>
    <col min="9760" max="9763" width="7.125" style="2" customWidth="1"/>
    <col min="9764" max="9764" width="9.125" style="2" customWidth="1"/>
    <col min="9765" max="9765" width="16.5" style="2" customWidth="1"/>
    <col min="9766" max="9766" width="5.375" style="2" customWidth="1"/>
    <col min="9767" max="9767" width="16.5" style="2" customWidth="1"/>
    <col min="9768" max="9768" width="5.375" style="2" customWidth="1"/>
    <col min="9769" max="9769" width="16.5" style="2" customWidth="1"/>
    <col min="9770" max="9770" width="5.375" style="2" customWidth="1"/>
    <col min="9771" max="9771" width="21.375" style="2" customWidth="1"/>
    <col min="9772" max="9772" width="5.375" style="2" customWidth="1"/>
    <col min="9773" max="9773" width="19" style="2" customWidth="1"/>
    <col min="9774" max="9774" width="5.375" style="2" customWidth="1"/>
    <col min="9775" max="9775" width="20.75" style="2" customWidth="1"/>
    <col min="9776" max="9776" width="5.375" style="2" customWidth="1"/>
    <col min="9777" max="9777" width="19.625" style="2" customWidth="1"/>
    <col min="9778" max="9778" width="6.375" style="2" customWidth="1"/>
    <col min="9779" max="9779" width="14.375" style="2" customWidth="1"/>
    <col min="9780" max="9780" width="5.375" style="2" customWidth="1"/>
    <col min="9781" max="9781" width="6.375" style="2" customWidth="1"/>
    <col min="9782" max="9782" width="7.75" style="2" customWidth="1"/>
    <col min="9783" max="9784" width="7.125" style="2" customWidth="1"/>
    <col min="9785" max="9785" width="10.875" style="2" customWidth="1"/>
    <col min="9786" max="9989" width="9" style="2"/>
    <col min="9990" max="9990" width="4.25" style="2" bestFit="1" customWidth="1"/>
    <col min="9991" max="9991" width="13.625" style="2" customWidth="1"/>
    <col min="9992" max="9995" width="7.125" style="2" customWidth="1"/>
    <col min="9996" max="9996" width="18" style="2" customWidth="1"/>
    <col min="9997" max="9997" width="5.375" style="2" customWidth="1"/>
    <col min="9998" max="9998" width="17.375" style="2" customWidth="1"/>
    <col min="9999" max="9999" width="5.375" style="2" customWidth="1"/>
    <col min="10000" max="10000" width="21.375" style="2" customWidth="1"/>
    <col min="10001" max="10001" width="5.375" style="2" customWidth="1"/>
    <col min="10002" max="10002" width="18.5" style="2" customWidth="1"/>
    <col min="10003" max="10003" width="6.25" style="2" customWidth="1"/>
    <col min="10004" max="10004" width="16.875" style="2" customWidth="1"/>
    <col min="10005" max="10005" width="5.375" style="2" customWidth="1"/>
    <col min="10006" max="10006" width="18.875" style="2" customWidth="1"/>
    <col min="10007" max="10007" width="5.375" style="2" customWidth="1"/>
    <col min="10008" max="10008" width="18" style="2" customWidth="1"/>
    <col min="10009" max="10009" width="5.375" style="2" customWidth="1"/>
    <col min="10010" max="10010" width="18.875" style="2" customWidth="1"/>
    <col min="10011" max="10011" width="5.375" style="2" customWidth="1"/>
    <col min="10012" max="10012" width="17.75" style="2" customWidth="1"/>
    <col min="10013" max="10013" width="5.375" style="2" customWidth="1"/>
    <col min="10014" max="10014" width="17.75" style="2" customWidth="1"/>
    <col min="10015" max="10015" width="5.375" style="2" customWidth="1"/>
    <col min="10016" max="10019" width="7.125" style="2" customWidth="1"/>
    <col min="10020" max="10020" width="9.125" style="2" customWidth="1"/>
    <col min="10021" max="10021" width="16.5" style="2" customWidth="1"/>
    <col min="10022" max="10022" width="5.375" style="2" customWidth="1"/>
    <col min="10023" max="10023" width="16.5" style="2" customWidth="1"/>
    <col min="10024" max="10024" width="5.375" style="2" customWidth="1"/>
    <col min="10025" max="10025" width="16.5" style="2" customWidth="1"/>
    <col min="10026" max="10026" width="5.375" style="2" customWidth="1"/>
    <col min="10027" max="10027" width="21.375" style="2" customWidth="1"/>
    <col min="10028" max="10028" width="5.375" style="2" customWidth="1"/>
    <col min="10029" max="10029" width="19" style="2" customWidth="1"/>
    <col min="10030" max="10030" width="5.375" style="2" customWidth="1"/>
    <col min="10031" max="10031" width="20.75" style="2" customWidth="1"/>
    <col min="10032" max="10032" width="5.375" style="2" customWidth="1"/>
    <col min="10033" max="10033" width="19.625" style="2" customWidth="1"/>
    <col min="10034" max="10034" width="6.375" style="2" customWidth="1"/>
    <col min="10035" max="10035" width="14.375" style="2" customWidth="1"/>
    <col min="10036" max="10036" width="5.375" style="2" customWidth="1"/>
    <col min="10037" max="10037" width="6.375" style="2" customWidth="1"/>
    <col min="10038" max="10038" width="7.75" style="2" customWidth="1"/>
    <col min="10039" max="10040" width="7.125" style="2" customWidth="1"/>
    <col min="10041" max="10041" width="10.875" style="2" customWidth="1"/>
    <col min="10042" max="10245" width="9" style="2"/>
    <col min="10246" max="10246" width="4.25" style="2" bestFit="1" customWidth="1"/>
    <col min="10247" max="10247" width="13.625" style="2" customWidth="1"/>
    <col min="10248" max="10251" width="7.125" style="2" customWidth="1"/>
    <col min="10252" max="10252" width="18" style="2" customWidth="1"/>
    <col min="10253" max="10253" width="5.375" style="2" customWidth="1"/>
    <col min="10254" max="10254" width="17.375" style="2" customWidth="1"/>
    <col min="10255" max="10255" width="5.375" style="2" customWidth="1"/>
    <col min="10256" max="10256" width="21.375" style="2" customWidth="1"/>
    <col min="10257" max="10257" width="5.375" style="2" customWidth="1"/>
    <col min="10258" max="10258" width="18.5" style="2" customWidth="1"/>
    <col min="10259" max="10259" width="6.25" style="2" customWidth="1"/>
    <col min="10260" max="10260" width="16.875" style="2" customWidth="1"/>
    <col min="10261" max="10261" width="5.375" style="2" customWidth="1"/>
    <col min="10262" max="10262" width="18.875" style="2" customWidth="1"/>
    <col min="10263" max="10263" width="5.375" style="2" customWidth="1"/>
    <col min="10264" max="10264" width="18" style="2" customWidth="1"/>
    <col min="10265" max="10265" width="5.375" style="2" customWidth="1"/>
    <col min="10266" max="10266" width="18.875" style="2" customWidth="1"/>
    <col min="10267" max="10267" width="5.375" style="2" customWidth="1"/>
    <col min="10268" max="10268" width="17.75" style="2" customWidth="1"/>
    <col min="10269" max="10269" width="5.375" style="2" customWidth="1"/>
    <col min="10270" max="10270" width="17.75" style="2" customWidth="1"/>
    <col min="10271" max="10271" width="5.375" style="2" customWidth="1"/>
    <col min="10272" max="10275" width="7.125" style="2" customWidth="1"/>
    <col min="10276" max="10276" width="9.125" style="2" customWidth="1"/>
    <col min="10277" max="10277" width="16.5" style="2" customWidth="1"/>
    <col min="10278" max="10278" width="5.375" style="2" customWidth="1"/>
    <col min="10279" max="10279" width="16.5" style="2" customWidth="1"/>
    <col min="10280" max="10280" width="5.375" style="2" customWidth="1"/>
    <col min="10281" max="10281" width="16.5" style="2" customWidth="1"/>
    <col min="10282" max="10282" width="5.375" style="2" customWidth="1"/>
    <col min="10283" max="10283" width="21.375" style="2" customWidth="1"/>
    <col min="10284" max="10284" width="5.375" style="2" customWidth="1"/>
    <col min="10285" max="10285" width="19" style="2" customWidth="1"/>
    <col min="10286" max="10286" width="5.375" style="2" customWidth="1"/>
    <col min="10287" max="10287" width="20.75" style="2" customWidth="1"/>
    <col min="10288" max="10288" width="5.375" style="2" customWidth="1"/>
    <col min="10289" max="10289" width="19.625" style="2" customWidth="1"/>
    <col min="10290" max="10290" width="6.375" style="2" customWidth="1"/>
    <col min="10291" max="10291" width="14.375" style="2" customWidth="1"/>
    <col min="10292" max="10292" width="5.375" style="2" customWidth="1"/>
    <col min="10293" max="10293" width="6.375" style="2" customWidth="1"/>
    <col min="10294" max="10294" width="7.75" style="2" customWidth="1"/>
    <col min="10295" max="10296" width="7.125" style="2" customWidth="1"/>
    <col min="10297" max="10297" width="10.875" style="2" customWidth="1"/>
    <col min="10298" max="10501" width="9" style="2"/>
    <col min="10502" max="10502" width="4.25" style="2" bestFit="1" customWidth="1"/>
    <col min="10503" max="10503" width="13.625" style="2" customWidth="1"/>
    <col min="10504" max="10507" width="7.125" style="2" customWidth="1"/>
    <col min="10508" max="10508" width="18" style="2" customWidth="1"/>
    <col min="10509" max="10509" width="5.375" style="2" customWidth="1"/>
    <col min="10510" max="10510" width="17.375" style="2" customWidth="1"/>
    <col min="10511" max="10511" width="5.375" style="2" customWidth="1"/>
    <col min="10512" max="10512" width="21.375" style="2" customWidth="1"/>
    <col min="10513" max="10513" width="5.375" style="2" customWidth="1"/>
    <col min="10514" max="10514" width="18.5" style="2" customWidth="1"/>
    <col min="10515" max="10515" width="6.25" style="2" customWidth="1"/>
    <col min="10516" max="10516" width="16.875" style="2" customWidth="1"/>
    <col min="10517" max="10517" width="5.375" style="2" customWidth="1"/>
    <col min="10518" max="10518" width="18.875" style="2" customWidth="1"/>
    <col min="10519" max="10519" width="5.375" style="2" customWidth="1"/>
    <col min="10520" max="10520" width="18" style="2" customWidth="1"/>
    <col min="10521" max="10521" width="5.375" style="2" customWidth="1"/>
    <col min="10522" max="10522" width="18.875" style="2" customWidth="1"/>
    <col min="10523" max="10523" width="5.375" style="2" customWidth="1"/>
    <col min="10524" max="10524" width="17.75" style="2" customWidth="1"/>
    <col min="10525" max="10525" width="5.375" style="2" customWidth="1"/>
    <col min="10526" max="10526" width="17.75" style="2" customWidth="1"/>
    <col min="10527" max="10527" width="5.375" style="2" customWidth="1"/>
    <col min="10528" max="10531" width="7.125" style="2" customWidth="1"/>
    <col min="10532" max="10532" width="9.125" style="2" customWidth="1"/>
    <col min="10533" max="10533" width="16.5" style="2" customWidth="1"/>
    <col min="10534" max="10534" width="5.375" style="2" customWidth="1"/>
    <col min="10535" max="10535" width="16.5" style="2" customWidth="1"/>
    <col min="10536" max="10536" width="5.375" style="2" customWidth="1"/>
    <col min="10537" max="10537" width="16.5" style="2" customWidth="1"/>
    <col min="10538" max="10538" width="5.375" style="2" customWidth="1"/>
    <col min="10539" max="10539" width="21.375" style="2" customWidth="1"/>
    <col min="10540" max="10540" width="5.375" style="2" customWidth="1"/>
    <col min="10541" max="10541" width="19" style="2" customWidth="1"/>
    <col min="10542" max="10542" width="5.375" style="2" customWidth="1"/>
    <col min="10543" max="10543" width="20.75" style="2" customWidth="1"/>
    <col min="10544" max="10544" width="5.375" style="2" customWidth="1"/>
    <col min="10545" max="10545" width="19.625" style="2" customWidth="1"/>
    <col min="10546" max="10546" width="6.375" style="2" customWidth="1"/>
    <col min="10547" max="10547" width="14.375" style="2" customWidth="1"/>
    <col min="10548" max="10548" width="5.375" style="2" customWidth="1"/>
    <col min="10549" max="10549" width="6.375" style="2" customWidth="1"/>
    <col min="10550" max="10550" width="7.75" style="2" customWidth="1"/>
    <col min="10551" max="10552" width="7.125" style="2" customWidth="1"/>
    <col min="10553" max="10553" width="10.875" style="2" customWidth="1"/>
    <col min="10554" max="10757" width="9" style="2"/>
    <col min="10758" max="10758" width="4.25" style="2" bestFit="1" customWidth="1"/>
    <col min="10759" max="10759" width="13.625" style="2" customWidth="1"/>
    <col min="10760" max="10763" width="7.125" style="2" customWidth="1"/>
    <col min="10764" max="10764" width="18" style="2" customWidth="1"/>
    <col min="10765" max="10765" width="5.375" style="2" customWidth="1"/>
    <col min="10766" max="10766" width="17.375" style="2" customWidth="1"/>
    <col min="10767" max="10767" width="5.375" style="2" customWidth="1"/>
    <col min="10768" max="10768" width="21.375" style="2" customWidth="1"/>
    <col min="10769" max="10769" width="5.375" style="2" customWidth="1"/>
    <col min="10770" max="10770" width="18.5" style="2" customWidth="1"/>
    <col min="10771" max="10771" width="6.25" style="2" customWidth="1"/>
    <col min="10772" max="10772" width="16.875" style="2" customWidth="1"/>
    <col min="10773" max="10773" width="5.375" style="2" customWidth="1"/>
    <col min="10774" max="10774" width="18.875" style="2" customWidth="1"/>
    <col min="10775" max="10775" width="5.375" style="2" customWidth="1"/>
    <col min="10776" max="10776" width="18" style="2" customWidth="1"/>
    <col min="10777" max="10777" width="5.375" style="2" customWidth="1"/>
    <col min="10778" max="10778" width="18.875" style="2" customWidth="1"/>
    <col min="10779" max="10779" width="5.375" style="2" customWidth="1"/>
    <col min="10780" max="10780" width="17.75" style="2" customWidth="1"/>
    <col min="10781" max="10781" width="5.375" style="2" customWidth="1"/>
    <col min="10782" max="10782" width="17.75" style="2" customWidth="1"/>
    <col min="10783" max="10783" width="5.375" style="2" customWidth="1"/>
    <col min="10784" max="10787" width="7.125" style="2" customWidth="1"/>
    <col min="10788" max="10788" width="9.125" style="2" customWidth="1"/>
    <col min="10789" max="10789" width="16.5" style="2" customWidth="1"/>
    <col min="10790" max="10790" width="5.375" style="2" customWidth="1"/>
    <col min="10791" max="10791" width="16.5" style="2" customWidth="1"/>
    <col min="10792" max="10792" width="5.375" style="2" customWidth="1"/>
    <col min="10793" max="10793" width="16.5" style="2" customWidth="1"/>
    <col min="10794" max="10794" width="5.375" style="2" customWidth="1"/>
    <col min="10795" max="10795" width="21.375" style="2" customWidth="1"/>
    <col min="10796" max="10796" width="5.375" style="2" customWidth="1"/>
    <col min="10797" max="10797" width="19" style="2" customWidth="1"/>
    <col min="10798" max="10798" width="5.375" style="2" customWidth="1"/>
    <col min="10799" max="10799" width="20.75" style="2" customWidth="1"/>
    <col min="10800" max="10800" width="5.375" style="2" customWidth="1"/>
    <col min="10801" max="10801" width="19.625" style="2" customWidth="1"/>
    <col min="10802" max="10802" width="6.375" style="2" customWidth="1"/>
    <col min="10803" max="10803" width="14.375" style="2" customWidth="1"/>
    <col min="10804" max="10804" width="5.375" style="2" customWidth="1"/>
    <col min="10805" max="10805" width="6.375" style="2" customWidth="1"/>
    <col min="10806" max="10806" width="7.75" style="2" customWidth="1"/>
    <col min="10807" max="10808" width="7.125" style="2" customWidth="1"/>
    <col min="10809" max="10809" width="10.875" style="2" customWidth="1"/>
    <col min="10810" max="11013" width="9" style="2"/>
    <col min="11014" max="11014" width="4.25" style="2" bestFit="1" customWidth="1"/>
    <col min="11015" max="11015" width="13.625" style="2" customWidth="1"/>
    <col min="11016" max="11019" width="7.125" style="2" customWidth="1"/>
    <col min="11020" max="11020" width="18" style="2" customWidth="1"/>
    <col min="11021" max="11021" width="5.375" style="2" customWidth="1"/>
    <col min="11022" max="11022" width="17.375" style="2" customWidth="1"/>
    <col min="11023" max="11023" width="5.375" style="2" customWidth="1"/>
    <col min="11024" max="11024" width="21.375" style="2" customWidth="1"/>
    <col min="11025" max="11025" width="5.375" style="2" customWidth="1"/>
    <col min="11026" max="11026" width="18.5" style="2" customWidth="1"/>
    <col min="11027" max="11027" width="6.25" style="2" customWidth="1"/>
    <col min="11028" max="11028" width="16.875" style="2" customWidth="1"/>
    <col min="11029" max="11029" width="5.375" style="2" customWidth="1"/>
    <col min="11030" max="11030" width="18.875" style="2" customWidth="1"/>
    <col min="11031" max="11031" width="5.375" style="2" customWidth="1"/>
    <col min="11032" max="11032" width="18" style="2" customWidth="1"/>
    <col min="11033" max="11033" width="5.375" style="2" customWidth="1"/>
    <col min="11034" max="11034" width="18.875" style="2" customWidth="1"/>
    <col min="11035" max="11035" width="5.375" style="2" customWidth="1"/>
    <col min="11036" max="11036" width="17.75" style="2" customWidth="1"/>
    <col min="11037" max="11037" width="5.375" style="2" customWidth="1"/>
    <col min="11038" max="11038" width="17.75" style="2" customWidth="1"/>
    <col min="11039" max="11039" width="5.375" style="2" customWidth="1"/>
    <col min="11040" max="11043" width="7.125" style="2" customWidth="1"/>
    <col min="11044" max="11044" width="9.125" style="2" customWidth="1"/>
    <col min="11045" max="11045" width="16.5" style="2" customWidth="1"/>
    <col min="11046" max="11046" width="5.375" style="2" customWidth="1"/>
    <col min="11047" max="11047" width="16.5" style="2" customWidth="1"/>
    <col min="11048" max="11048" width="5.375" style="2" customWidth="1"/>
    <col min="11049" max="11049" width="16.5" style="2" customWidth="1"/>
    <col min="11050" max="11050" width="5.375" style="2" customWidth="1"/>
    <col min="11051" max="11051" width="21.375" style="2" customWidth="1"/>
    <col min="11052" max="11052" width="5.375" style="2" customWidth="1"/>
    <col min="11053" max="11053" width="19" style="2" customWidth="1"/>
    <col min="11054" max="11054" width="5.375" style="2" customWidth="1"/>
    <col min="11055" max="11055" width="20.75" style="2" customWidth="1"/>
    <col min="11056" max="11056" width="5.375" style="2" customWidth="1"/>
    <col min="11057" max="11057" width="19.625" style="2" customWidth="1"/>
    <col min="11058" max="11058" width="6.375" style="2" customWidth="1"/>
    <col min="11059" max="11059" width="14.375" style="2" customWidth="1"/>
    <col min="11060" max="11060" width="5.375" style="2" customWidth="1"/>
    <col min="11061" max="11061" width="6.375" style="2" customWidth="1"/>
    <col min="11062" max="11062" width="7.75" style="2" customWidth="1"/>
    <col min="11063" max="11064" width="7.125" style="2" customWidth="1"/>
    <col min="11065" max="11065" width="10.875" style="2" customWidth="1"/>
    <col min="11066" max="11269" width="9" style="2"/>
    <col min="11270" max="11270" width="4.25" style="2" bestFit="1" customWidth="1"/>
    <col min="11271" max="11271" width="13.625" style="2" customWidth="1"/>
    <col min="11272" max="11275" width="7.125" style="2" customWidth="1"/>
    <col min="11276" max="11276" width="18" style="2" customWidth="1"/>
    <col min="11277" max="11277" width="5.375" style="2" customWidth="1"/>
    <col min="11278" max="11278" width="17.375" style="2" customWidth="1"/>
    <col min="11279" max="11279" width="5.375" style="2" customWidth="1"/>
    <col min="11280" max="11280" width="21.375" style="2" customWidth="1"/>
    <col min="11281" max="11281" width="5.375" style="2" customWidth="1"/>
    <col min="11282" max="11282" width="18.5" style="2" customWidth="1"/>
    <col min="11283" max="11283" width="6.25" style="2" customWidth="1"/>
    <col min="11284" max="11284" width="16.875" style="2" customWidth="1"/>
    <col min="11285" max="11285" width="5.375" style="2" customWidth="1"/>
    <col min="11286" max="11286" width="18.875" style="2" customWidth="1"/>
    <col min="11287" max="11287" width="5.375" style="2" customWidth="1"/>
    <col min="11288" max="11288" width="18" style="2" customWidth="1"/>
    <col min="11289" max="11289" width="5.375" style="2" customWidth="1"/>
    <col min="11290" max="11290" width="18.875" style="2" customWidth="1"/>
    <col min="11291" max="11291" width="5.375" style="2" customWidth="1"/>
    <col min="11292" max="11292" width="17.75" style="2" customWidth="1"/>
    <col min="11293" max="11293" width="5.375" style="2" customWidth="1"/>
    <col min="11294" max="11294" width="17.75" style="2" customWidth="1"/>
    <col min="11295" max="11295" width="5.375" style="2" customWidth="1"/>
    <col min="11296" max="11299" width="7.125" style="2" customWidth="1"/>
    <col min="11300" max="11300" width="9.125" style="2" customWidth="1"/>
    <col min="11301" max="11301" width="16.5" style="2" customWidth="1"/>
    <col min="11302" max="11302" width="5.375" style="2" customWidth="1"/>
    <col min="11303" max="11303" width="16.5" style="2" customWidth="1"/>
    <col min="11304" max="11304" width="5.375" style="2" customWidth="1"/>
    <col min="11305" max="11305" width="16.5" style="2" customWidth="1"/>
    <col min="11306" max="11306" width="5.375" style="2" customWidth="1"/>
    <col min="11307" max="11307" width="21.375" style="2" customWidth="1"/>
    <col min="11308" max="11308" width="5.375" style="2" customWidth="1"/>
    <col min="11309" max="11309" width="19" style="2" customWidth="1"/>
    <col min="11310" max="11310" width="5.375" style="2" customWidth="1"/>
    <col min="11311" max="11311" width="20.75" style="2" customWidth="1"/>
    <col min="11312" max="11312" width="5.375" style="2" customWidth="1"/>
    <col min="11313" max="11313" width="19.625" style="2" customWidth="1"/>
    <col min="11314" max="11314" width="6.375" style="2" customWidth="1"/>
    <col min="11315" max="11315" width="14.375" style="2" customWidth="1"/>
    <col min="11316" max="11316" width="5.375" style="2" customWidth="1"/>
    <col min="11317" max="11317" width="6.375" style="2" customWidth="1"/>
    <col min="11318" max="11318" width="7.75" style="2" customWidth="1"/>
    <col min="11319" max="11320" width="7.125" style="2" customWidth="1"/>
    <col min="11321" max="11321" width="10.875" style="2" customWidth="1"/>
    <col min="11322" max="11525" width="9" style="2"/>
    <col min="11526" max="11526" width="4.25" style="2" bestFit="1" customWidth="1"/>
    <col min="11527" max="11527" width="13.625" style="2" customWidth="1"/>
    <col min="11528" max="11531" width="7.125" style="2" customWidth="1"/>
    <col min="11532" max="11532" width="18" style="2" customWidth="1"/>
    <col min="11533" max="11533" width="5.375" style="2" customWidth="1"/>
    <col min="11534" max="11534" width="17.375" style="2" customWidth="1"/>
    <col min="11535" max="11535" width="5.375" style="2" customWidth="1"/>
    <col min="11536" max="11536" width="21.375" style="2" customWidth="1"/>
    <col min="11537" max="11537" width="5.375" style="2" customWidth="1"/>
    <col min="11538" max="11538" width="18.5" style="2" customWidth="1"/>
    <col min="11539" max="11539" width="6.25" style="2" customWidth="1"/>
    <col min="11540" max="11540" width="16.875" style="2" customWidth="1"/>
    <col min="11541" max="11541" width="5.375" style="2" customWidth="1"/>
    <col min="11542" max="11542" width="18.875" style="2" customWidth="1"/>
    <col min="11543" max="11543" width="5.375" style="2" customWidth="1"/>
    <col min="11544" max="11544" width="18" style="2" customWidth="1"/>
    <col min="11545" max="11545" width="5.375" style="2" customWidth="1"/>
    <col min="11546" max="11546" width="18.875" style="2" customWidth="1"/>
    <col min="11547" max="11547" width="5.375" style="2" customWidth="1"/>
    <col min="11548" max="11548" width="17.75" style="2" customWidth="1"/>
    <col min="11549" max="11549" width="5.375" style="2" customWidth="1"/>
    <col min="11550" max="11550" width="17.75" style="2" customWidth="1"/>
    <col min="11551" max="11551" width="5.375" style="2" customWidth="1"/>
    <col min="11552" max="11555" width="7.125" style="2" customWidth="1"/>
    <col min="11556" max="11556" width="9.125" style="2" customWidth="1"/>
    <col min="11557" max="11557" width="16.5" style="2" customWidth="1"/>
    <col min="11558" max="11558" width="5.375" style="2" customWidth="1"/>
    <col min="11559" max="11559" width="16.5" style="2" customWidth="1"/>
    <col min="11560" max="11560" width="5.375" style="2" customWidth="1"/>
    <col min="11561" max="11561" width="16.5" style="2" customWidth="1"/>
    <col min="11562" max="11562" width="5.375" style="2" customWidth="1"/>
    <col min="11563" max="11563" width="21.375" style="2" customWidth="1"/>
    <col min="11564" max="11564" width="5.375" style="2" customWidth="1"/>
    <col min="11565" max="11565" width="19" style="2" customWidth="1"/>
    <col min="11566" max="11566" width="5.375" style="2" customWidth="1"/>
    <col min="11567" max="11567" width="20.75" style="2" customWidth="1"/>
    <col min="11568" max="11568" width="5.375" style="2" customWidth="1"/>
    <col min="11569" max="11569" width="19.625" style="2" customWidth="1"/>
    <col min="11570" max="11570" width="6.375" style="2" customWidth="1"/>
    <col min="11571" max="11571" width="14.375" style="2" customWidth="1"/>
    <col min="11572" max="11572" width="5.375" style="2" customWidth="1"/>
    <col min="11573" max="11573" width="6.375" style="2" customWidth="1"/>
    <col min="11574" max="11574" width="7.75" style="2" customWidth="1"/>
    <col min="11575" max="11576" width="7.125" style="2" customWidth="1"/>
    <col min="11577" max="11577" width="10.875" style="2" customWidth="1"/>
    <col min="11578" max="11781" width="9" style="2"/>
    <col min="11782" max="11782" width="4.25" style="2" bestFit="1" customWidth="1"/>
    <col min="11783" max="11783" width="13.625" style="2" customWidth="1"/>
    <col min="11784" max="11787" width="7.125" style="2" customWidth="1"/>
    <col min="11788" max="11788" width="18" style="2" customWidth="1"/>
    <col min="11789" max="11789" width="5.375" style="2" customWidth="1"/>
    <col min="11790" max="11790" width="17.375" style="2" customWidth="1"/>
    <col min="11791" max="11791" width="5.375" style="2" customWidth="1"/>
    <col min="11792" max="11792" width="21.375" style="2" customWidth="1"/>
    <col min="11793" max="11793" width="5.375" style="2" customWidth="1"/>
    <col min="11794" max="11794" width="18.5" style="2" customWidth="1"/>
    <col min="11795" max="11795" width="6.25" style="2" customWidth="1"/>
    <col min="11796" max="11796" width="16.875" style="2" customWidth="1"/>
    <col min="11797" max="11797" width="5.375" style="2" customWidth="1"/>
    <col min="11798" max="11798" width="18.875" style="2" customWidth="1"/>
    <col min="11799" max="11799" width="5.375" style="2" customWidth="1"/>
    <col min="11800" max="11800" width="18" style="2" customWidth="1"/>
    <col min="11801" max="11801" width="5.375" style="2" customWidth="1"/>
    <col min="11802" max="11802" width="18.875" style="2" customWidth="1"/>
    <col min="11803" max="11803" width="5.375" style="2" customWidth="1"/>
    <col min="11804" max="11804" width="17.75" style="2" customWidth="1"/>
    <col min="11805" max="11805" width="5.375" style="2" customWidth="1"/>
    <col min="11806" max="11806" width="17.75" style="2" customWidth="1"/>
    <col min="11807" max="11807" width="5.375" style="2" customWidth="1"/>
    <col min="11808" max="11811" width="7.125" style="2" customWidth="1"/>
    <col min="11812" max="11812" width="9.125" style="2" customWidth="1"/>
    <col min="11813" max="11813" width="16.5" style="2" customWidth="1"/>
    <col min="11814" max="11814" width="5.375" style="2" customWidth="1"/>
    <col min="11815" max="11815" width="16.5" style="2" customWidth="1"/>
    <col min="11816" max="11816" width="5.375" style="2" customWidth="1"/>
    <col min="11817" max="11817" width="16.5" style="2" customWidth="1"/>
    <col min="11818" max="11818" width="5.375" style="2" customWidth="1"/>
    <col min="11819" max="11819" width="21.375" style="2" customWidth="1"/>
    <col min="11820" max="11820" width="5.375" style="2" customWidth="1"/>
    <col min="11821" max="11821" width="19" style="2" customWidth="1"/>
    <col min="11822" max="11822" width="5.375" style="2" customWidth="1"/>
    <col min="11823" max="11823" width="20.75" style="2" customWidth="1"/>
    <col min="11824" max="11824" width="5.375" style="2" customWidth="1"/>
    <col min="11825" max="11825" width="19.625" style="2" customWidth="1"/>
    <col min="11826" max="11826" width="6.375" style="2" customWidth="1"/>
    <col min="11827" max="11827" width="14.375" style="2" customWidth="1"/>
    <col min="11828" max="11828" width="5.375" style="2" customWidth="1"/>
    <col min="11829" max="11829" width="6.375" style="2" customWidth="1"/>
    <col min="11830" max="11830" width="7.75" style="2" customWidth="1"/>
    <col min="11831" max="11832" width="7.125" style="2" customWidth="1"/>
    <col min="11833" max="11833" width="10.875" style="2" customWidth="1"/>
    <col min="11834" max="12037" width="9" style="2"/>
    <col min="12038" max="12038" width="4.25" style="2" bestFit="1" customWidth="1"/>
    <col min="12039" max="12039" width="13.625" style="2" customWidth="1"/>
    <col min="12040" max="12043" width="7.125" style="2" customWidth="1"/>
    <col min="12044" max="12044" width="18" style="2" customWidth="1"/>
    <col min="12045" max="12045" width="5.375" style="2" customWidth="1"/>
    <col min="12046" max="12046" width="17.375" style="2" customWidth="1"/>
    <col min="12047" max="12047" width="5.375" style="2" customWidth="1"/>
    <col min="12048" max="12048" width="21.375" style="2" customWidth="1"/>
    <col min="12049" max="12049" width="5.375" style="2" customWidth="1"/>
    <col min="12050" max="12050" width="18.5" style="2" customWidth="1"/>
    <col min="12051" max="12051" width="6.25" style="2" customWidth="1"/>
    <col min="12052" max="12052" width="16.875" style="2" customWidth="1"/>
    <col min="12053" max="12053" width="5.375" style="2" customWidth="1"/>
    <col min="12054" max="12054" width="18.875" style="2" customWidth="1"/>
    <col min="12055" max="12055" width="5.375" style="2" customWidth="1"/>
    <col min="12056" max="12056" width="18" style="2" customWidth="1"/>
    <col min="12057" max="12057" width="5.375" style="2" customWidth="1"/>
    <col min="12058" max="12058" width="18.875" style="2" customWidth="1"/>
    <col min="12059" max="12059" width="5.375" style="2" customWidth="1"/>
    <col min="12060" max="12060" width="17.75" style="2" customWidth="1"/>
    <col min="12061" max="12061" width="5.375" style="2" customWidth="1"/>
    <col min="12062" max="12062" width="17.75" style="2" customWidth="1"/>
    <col min="12063" max="12063" width="5.375" style="2" customWidth="1"/>
    <col min="12064" max="12067" width="7.125" style="2" customWidth="1"/>
    <col min="12068" max="12068" width="9.125" style="2" customWidth="1"/>
    <col min="12069" max="12069" width="16.5" style="2" customWidth="1"/>
    <col min="12070" max="12070" width="5.375" style="2" customWidth="1"/>
    <col min="12071" max="12071" width="16.5" style="2" customWidth="1"/>
    <col min="12072" max="12072" width="5.375" style="2" customWidth="1"/>
    <col min="12073" max="12073" width="16.5" style="2" customWidth="1"/>
    <col min="12074" max="12074" width="5.375" style="2" customWidth="1"/>
    <col min="12075" max="12075" width="21.375" style="2" customWidth="1"/>
    <col min="12076" max="12076" width="5.375" style="2" customWidth="1"/>
    <col min="12077" max="12077" width="19" style="2" customWidth="1"/>
    <col min="12078" max="12078" width="5.375" style="2" customWidth="1"/>
    <col min="12079" max="12079" width="20.75" style="2" customWidth="1"/>
    <col min="12080" max="12080" width="5.375" style="2" customWidth="1"/>
    <col min="12081" max="12081" width="19.625" style="2" customWidth="1"/>
    <col min="12082" max="12082" width="6.375" style="2" customWidth="1"/>
    <col min="12083" max="12083" width="14.375" style="2" customWidth="1"/>
    <col min="12084" max="12084" width="5.375" style="2" customWidth="1"/>
    <col min="12085" max="12085" width="6.375" style="2" customWidth="1"/>
    <col min="12086" max="12086" width="7.75" style="2" customWidth="1"/>
    <col min="12087" max="12088" width="7.125" style="2" customWidth="1"/>
    <col min="12089" max="12089" width="10.875" style="2" customWidth="1"/>
    <col min="12090" max="12293" width="9" style="2"/>
    <col min="12294" max="12294" width="4.25" style="2" bestFit="1" customWidth="1"/>
    <col min="12295" max="12295" width="13.625" style="2" customWidth="1"/>
    <col min="12296" max="12299" width="7.125" style="2" customWidth="1"/>
    <col min="12300" max="12300" width="18" style="2" customWidth="1"/>
    <col min="12301" max="12301" width="5.375" style="2" customWidth="1"/>
    <col min="12302" max="12302" width="17.375" style="2" customWidth="1"/>
    <col min="12303" max="12303" width="5.375" style="2" customWidth="1"/>
    <col min="12304" max="12304" width="21.375" style="2" customWidth="1"/>
    <col min="12305" max="12305" width="5.375" style="2" customWidth="1"/>
    <col min="12306" max="12306" width="18.5" style="2" customWidth="1"/>
    <col min="12307" max="12307" width="6.25" style="2" customWidth="1"/>
    <col min="12308" max="12308" width="16.875" style="2" customWidth="1"/>
    <col min="12309" max="12309" width="5.375" style="2" customWidth="1"/>
    <col min="12310" max="12310" width="18.875" style="2" customWidth="1"/>
    <col min="12311" max="12311" width="5.375" style="2" customWidth="1"/>
    <col min="12312" max="12312" width="18" style="2" customWidth="1"/>
    <col min="12313" max="12313" width="5.375" style="2" customWidth="1"/>
    <col min="12314" max="12314" width="18.875" style="2" customWidth="1"/>
    <col min="12315" max="12315" width="5.375" style="2" customWidth="1"/>
    <col min="12316" max="12316" width="17.75" style="2" customWidth="1"/>
    <col min="12317" max="12317" width="5.375" style="2" customWidth="1"/>
    <col min="12318" max="12318" width="17.75" style="2" customWidth="1"/>
    <col min="12319" max="12319" width="5.375" style="2" customWidth="1"/>
    <col min="12320" max="12323" width="7.125" style="2" customWidth="1"/>
    <col min="12324" max="12324" width="9.125" style="2" customWidth="1"/>
    <col min="12325" max="12325" width="16.5" style="2" customWidth="1"/>
    <col min="12326" max="12326" width="5.375" style="2" customWidth="1"/>
    <col min="12327" max="12327" width="16.5" style="2" customWidth="1"/>
    <col min="12328" max="12328" width="5.375" style="2" customWidth="1"/>
    <col min="12329" max="12329" width="16.5" style="2" customWidth="1"/>
    <col min="12330" max="12330" width="5.375" style="2" customWidth="1"/>
    <col min="12331" max="12331" width="21.375" style="2" customWidth="1"/>
    <col min="12332" max="12332" width="5.375" style="2" customWidth="1"/>
    <col min="12333" max="12333" width="19" style="2" customWidth="1"/>
    <col min="12334" max="12334" width="5.375" style="2" customWidth="1"/>
    <col min="12335" max="12335" width="20.75" style="2" customWidth="1"/>
    <col min="12336" max="12336" width="5.375" style="2" customWidth="1"/>
    <col min="12337" max="12337" width="19.625" style="2" customWidth="1"/>
    <col min="12338" max="12338" width="6.375" style="2" customWidth="1"/>
    <col min="12339" max="12339" width="14.375" style="2" customWidth="1"/>
    <col min="12340" max="12340" width="5.375" style="2" customWidth="1"/>
    <col min="12341" max="12341" width="6.375" style="2" customWidth="1"/>
    <col min="12342" max="12342" width="7.75" style="2" customWidth="1"/>
    <col min="12343" max="12344" width="7.125" style="2" customWidth="1"/>
    <col min="12345" max="12345" width="10.875" style="2" customWidth="1"/>
    <col min="12346" max="12549" width="9" style="2"/>
    <col min="12550" max="12550" width="4.25" style="2" bestFit="1" customWidth="1"/>
    <col min="12551" max="12551" width="13.625" style="2" customWidth="1"/>
    <col min="12552" max="12555" width="7.125" style="2" customWidth="1"/>
    <col min="12556" max="12556" width="18" style="2" customWidth="1"/>
    <col min="12557" max="12557" width="5.375" style="2" customWidth="1"/>
    <col min="12558" max="12558" width="17.375" style="2" customWidth="1"/>
    <col min="12559" max="12559" width="5.375" style="2" customWidth="1"/>
    <col min="12560" max="12560" width="21.375" style="2" customWidth="1"/>
    <col min="12561" max="12561" width="5.375" style="2" customWidth="1"/>
    <col min="12562" max="12562" width="18.5" style="2" customWidth="1"/>
    <col min="12563" max="12563" width="6.25" style="2" customWidth="1"/>
    <col min="12564" max="12564" width="16.875" style="2" customWidth="1"/>
    <col min="12565" max="12565" width="5.375" style="2" customWidth="1"/>
    <col min="12566" max="12566" width="18.875" style="2" customWidth="1"/>
    <col min="12567" max="12567" width="5.375" style="2" customWidth="1"/>
    <col min="12568" max="12568" width="18" style="2" customWidth="1"/>
    <col min="12569" max="12569" width="5.375" style="2" customWidth="1"/>
    <col min="12570" max="12570" width="18.875" style="2" customWidth="1"/>
    <col min="12571" max="12571" width="5.375" style="2" customWidth="1"/>
    <col min="12572" max="12572" width="17.75" style="2" customWidth="1"/>
    <col min="12573" max="12573" width="5.375" style="2" customWidth="1"/>
    <col min="12574" max="12574" width="17.75" style="2" customWidth="1"/>
    <col min="12575" max="12575" width="5.375" style="2" customWidth="1"/>
    <col min="12576" max="12579" width="7.125" style="2" customWidth="1"/>
    <col min="12580" max="12580" width="9.125" style="2" customWidth="1"/>
    <col min="12581" max="12581" width="16.5" style="2" customWidth="1"/>
    <col min="12582" max="12582" width="5.375" style="2" customWidth="1"/>
    <col min="12583" max="12583" width="16.5" style="2" customWidth="1"/>
    <col min="12584" max="12584" width="5.375" style="2" customWidth="1"/>
    <col min="12585" max="12585" width="16.5" style="2" customWidth="1"/>
    <col min="12586" max="12586" width="5.375" style="2" customWidth="1"/>
    <col min="12587" max="12587" width="21.375" style="2" customWidth="1"/>
    <col min="12588" max="12588" width="5.375" style="2" customWidth="1"/>
    <col min="12589" max="12589" width="19" style="2" customWidth="1"/>
    <col min="12590" max="12590" width="5.375" style="2" customWidth="1"/>
    <col min="12591" max="12591" width="20.75" style="2" customWidth="1"/>
    <col min="12592" max="12592" width="5.375" style="2" customWidth="1"/>
    <col min="12593" max="12593" width="19.625" style="2" customWidth="1"/>
    <col min="12594" max="12594" width="6.375" style="2" customWidth="1"/>
    <col min="12595" max="12595" width="14.375" style="2" customWidth="1"/>
    <col min="12596" max="12596" width="5.375" style="2" customWidth="1"/>
    <col min="12597" max="12597" width="6.375" style="2" customWidth="1"/>
    <col min="12598" max="12598" width="7.75" style="2" customWidth="1"/>
    <col min="12599" max="12600" width="7.125" style="2" customWidth="1"/>
    <col min="12601" max="12601" width="10.875" style="2" customWidth="1"/>
    <col min="12602" max="12805" width="9" style="2"/>
    <col min="12806" max="12806" width="4.25" style="2" bestFit="1" customWidth="1"/>
    <col min="12807" max="12807" width="13.625" style="2" customWidth="1"/>
    <col min="12808" max="12811" width="7.125" style="2" customWidth="1"/>
    <col min="12812" max="12812" width="18" style="2" customWidth="1"/>
    <col min="12813" max="12813" width="5.375" style="2" customWidth="1"/>
    <col min="12814" max="12814" width="17.375" style="2" customWidth="1"/>
    <col min="12815" max="12815" width="5.375" style="2" customWidth="1"/>
    <col min="12816" max="12816" width="21.375" style="2" customWidth="1"/>
    <col min="12817" max="12817" width="5.375" style="2" customWidth="1"/>
    <col min="12818" max="12818" width="18.5" style="2" customWidth="1"/>
    <col min="12819" max="12819" width="6.25" style="2" customWidth="1"/>
    <col min="12820" max="12820" width="16.875" style="2" customWidth="1"/>
    <col min="12821" max="12821" width="5.375" style="2" customWidth="1"/>
    <col min="12822" max="12822" width="18.875" style="2" customWidth="1"/>
    <col min="12823" max="12823" width="5.375" style="2" customWidth="1"/>
    <col min="12824" max="12824" width="18" style="2" customWidth="1"/>
    <col min="12825" max="12825" width="5.375" style="2" customWidth="1"/>
    <col min="12826" max="12826" width="18.875" style="2" customWidth="1"/>
    <col min="12827" max="12827" width="5.375" style="2" customWidth="1"/>
    <col min="12828" max="12828" width="17.75" style="2" customWidth="1"/>
    <col min="12829" max="12829" width="5.375" style="2" customWidth="1"/>
    <col min="12830" max="12830" width="17.75" style="2" customWidth="1"/>
    <col min="12831" max="12831" width="5.375" style="2" customWidth="1"/>
    <col min="12832" max="12835" width="7.125" style="2" customWidth="1"/>
    <col min="12836" max="12836" width="9.125" style="2" customWidth="1"/>
    <col min="12837" max="12837" width="16.5" style="2" customWidth="1"/>
    <col min="12838" max="12838" width="5.375" style="2" customWidth="1"/>
    <col min="12839" max="12839" width="16.5" style="2" customWidth="1"/>
    <col min="12840" max="12840" width="5.375" style="2" customWidth="1"/>
    <col min="12841" max="12841" width="16.5" style="2" customWidth="1"/>
    <col min="12842" max="12842" width="5.375" style="2" customWidth="1"/>
    <col min="12843" max="12843" width="21.375" style="2" customWidth="1"/>
    <col min="12844" max="12844" width="5.375" style="2" customWidth="1"/>
    <col min="12845" max="12845" width="19" style="2" customWidth="1"/>
    <col min="12846" max="12846" width="5.375" style="2" customWidth="1"/>
    <col min="12847" max="12847" width="20.75" style="2" customWidth="1"/>
    <col min="12848" max="12848" width="5.375" style="2" customWidth="1"/>
    <col min="12849" max="12849" width="19.625" style="2" customWidth="1"/>
    <col min="12850" max="12850" width="6.375" style="2" customWidth="1"/>
    <col min="12851" max="12851" width="14.375" style="2" customWidth="1"/>
    <col min="12852" max="12852" width="5.375" style="2" customWidth="1"/>
    <col min="12853" max="12853" width="6.375" style="2" customWidth="1"/>
    <col min="12854" max="12854" width="7.75" style="2" customWidth="1"/>
    <col min="12855" max="12856" width="7.125" style="2" customWidth="1"/>
    <col min="12857" max="12857" width="10.875" style="2" customWidth="1"/>
    <col min="12858" max="13061" width="9" style="2"/>
    <col min="13062" max="13062" width="4.25" style="2" bestFit="1" customWidth="1"/>
    <col min="13063" max="13063" width="13.625" style="2" customWidth="1"/>
    <col min="13064" max="13067" width="7.125" style="2" customWidth="1"/>
    <col min="13068" max="13068" width="18" style="2" customWidth="1"/>
    <col min="13069" max="13069" width="5.375" style="2" customWidth="1"/>
    <col min="13070" max="13070" width="17.375" style="2" customWidth="1"/>
    <col min="13071" max="13071" width="5.375" style="2" customWidth="1"/>
    <col min="13072" max="13072" width="21.375" style="2" customWidth="1"/>
    <col min="13073" max="13073" width="5.375" style="2" customWidth="1"/>
    <col min="13074" max="13074" width="18.5" style="2" customWidth="1"/>
    <col min="13075" max="13075" width="6.25" style="2" customWidth="1"/>
    <col min="13076" max="13076" width="16.875" style="2" customWidth="1"/>
    <col min="13077" max="13077" width="5.375" style="2" customWidth="1"/>
    <col min="13078" max="13078" width="18.875" style="2" customWidth="1"/>
    <col min="13079" max="13079" width="5.375" style="2" customWidth="1"/>
    <col min="13080" max="13080" width="18" style="2" customWidth="1"/>
    <col min="13081" max="13081" width="5.375" style="2" customWidth="1"/>
    <col min="13082" max="13082" width="18.875" style="2" customWidth="1"/>
    <col min="13083" max="13083" width="5.375" style="2" customWidth="1"/>
    <col min="13084" max="13084" width="17.75" style="2" customWidth="1"/>
    <col min="13085" max="13085" width="5.375" style="2" customWidth="1"/>
    <col min="13086" max="13086" width="17.75" style="2" customWidth="1"/>
    <col min="13087" max="13087" width="5.375" style="2" customWidth="1"/>
    <col min="13088" max="13091" width="7.125" style="2" customWidth="1"/>
    <col min="13092" max="13092" width="9.125" style="2" customWidth="1"/>
    <col min="13093" max="13093" width="16.5" style="2" customWidth="1"/>
    <col min="13094" max="13094" width="5.375" style="2" customWidth="1"/>
    <col min="13095" max="13095" width="16.5" style="2" customWidth="1"/>
    <col min="13096" max="13096" width="5.375" style="2" customWidth="1"/>
    <col min="13097" max="13097" width="16.5" style="2" customWidth="1"/>
    <col min="13098" max="13098" width="5.375" style="2" customWidth="1"/>
    <col min="13099" max="13099" width="21.375" style="2" customWidth="1"/>
    <col min="13100" max="13100" width="5.375" style="2" customWidth="1"/>
    <col min="13101" max="13101" width="19" style="2" customWidth="1"/>
    <col min="13102" max="13102" width="5.375" style="2" customWidth="1"/>
    <col min="13103" max="13103" width="20.75" style="2" customWidth="1"/>
    <col min="13104" max="13104" width="5.375" style="2" customWidth="1"/>
    <col min="13105" max="13105" width="19.625" style="2" customWidth="1"/>
    <col min="13106" max="13106" width="6.375" style="2" customWidth="1"/>
    <col min="13107" max="13107" width="14.375" style="2" customWidth="1"/>
    <col min="13108" max="13108" width="5.375" style="2" customWidth="1"/>
    <col min="13109" max="13109" width="6.375" style="2" customWidth="1"/>
    <col min="13110" max="13110" width="7.75" style="2" customWidth="1"/>
    <col min="13111" max="13112" width="7.125" style="2" customWidth="1"/>
    <col min="13113" max="13113" width="10.875" style="2" customWidth="1"/>
    <col min="13114" max="13317" width="9" style="2"/>
    <col min="13318" max="13318" width="4.25" style="2" bestFit="1" customWidth="1"/>
    <col min="13319" max="13319" width="13.625" style="2" customWidth="1"/>
    <col min="13320" max="13323" width="7.125" style="2" customWidth="1"/>
    <col min="13324" max="13324" width="18" style="2" customWidth="1"/>
    <col min="13325" max="13325" width="5.375" style="2" customWidth="1"/>
    <col min="13326" max="13326" width="17.375" style="2" customWidth="1"/>
    <col min="13327" max="13327" width="5.375" style="2" customWidth="1"/>
    <col min="13328" max="13328" width="21.375" style="2" customWidth="1"/>
    <col min="13329" max="13329" width="5.375" style="2" customWidth="1"/>
    <col min="13330" max="13330" width="18.5" style="2" customWidth="1"/>
    <col min="13331" max="13331" width="6.25" style="2" customWidth="1"/>
    <col min="13332" max="13332" width="16.875" style="2" customWidth="1"/>
    <col min="13333" max="13333" width="5.375" style="2" customWidth="1"/>
    <col min="13334" max="13334" width="18.875" style="2" customWidth="1"/>
    <col min="13335" max="13335" width="5.375" style="2" customWidth="1"/>
    <col min="13336" max="13336" width="18" style="2" customWidth="1"/>
    <col min="13337" max="13337" width="5.375" style="2" customWidth="1"/>
    <col min="13338" max="13338" width="18.875" style="2" customWidth="1"/>
    <col min="13339" max="13339" width="5.375" style="2" customWidth="1"/>
    <col min="13340" max="13340" width="17.75" style="2" customWidth="1"/>
    <col min="13341" max="13341" width="5.375" style="2" customWidth="1"/>
    <col min="13342" max="13342" width="17.75" style="2" customWidth="1"/>
    <col min="13343" max="13343" width="5.375" style="2" customWidth="1"/>
    <col min="13344" max="13347" width="7.125" style="2" customWidth="1"/>
    <col min="13348" max="13348" width="9.125" style="2" customWidth="1"/>
    <col min="13349" max="13349" width="16.5" style="2" customWidth="1"/>
    <col min="13350" max="13350" width="5.375" style="2" customWidth="1"/>
    <col min="13351" max="13351" width="16.5" style="2" customWidth="1"/>
    <col min="13352" max="13352" width="5.375" style="2" customWidth="1"/>
    <col min="13353" max="13353" width="16.5" style="2" customWidth="1"/>
    <col min="13354" max="13354" width="5.375" style="2" customWidth="1"/>
    <col min="13355" max="13355" width="21.375" style="2" customWidth="1"/>
    <col min="13356" max="13356" width="5.375" style="2" customWidth="1"/>
    <col min="13357" max="13357" width="19" style="2" customWidth="1"/>
    <col min="13358" max="13358" width="5.375" style="2" customWidth="1"/>
    <col min="13359" max="13359" width="20.75" style="2" customWidth="1"/>
    <col min="13360" max="13360" width="5.375" style="2" customWidth="1"/>
    <col min="13361" max="13361" width="19.625" style="2" customWidth="1"/>
    <col min="13362" max="13362" width="6.375" style="2" customWidth="1"/>
    <col min="13363" max="13363" width="14.375" style="2" customWidth="1"/>
    <col min="13364" max="13364" width="5.375" style="2" customWidth="1"/>
    <col min="13365" max="13365" width="6.375" style="2" customWidth="1"/>
    <col min="13366" max="13366" width="7.75" style="2" customWidth="1"/>
    <col min="13367" max="13368" width="7.125" style="2" customWidth="1"/>
    <col min="13369" max="13369" width="10.875" style="2" customWidth="1"/>
    <col min="13370" max="13573" width="9" style="2"/>
    <col min="13574" max="13574" width="4.25" style="2" bestFit="1" customWidth="1"/>
    <col min="13575" max="13575" width="13.625" style="2" customWidth="1"/>
    <col min="13576" max="13579" width="7.125" style="2" customWidth="1"/>
    <col min="13580" max="13580" width="18" style="2" customWidth="1"/>
    <col min="13581" max="13581" width="5.375" style="2" customWidth="1"/>
    <col min="13582" max="13582" width="17.375" style="2" customWidth="1"/>
    <col min="13583" max="13583" width="5.375" style="2" customWidth="1"/>
    <col min="13584" max="13584" width="21.375" style="2" customWidth="1"/>
    <col min="13585" max="13585" width="5.375" style="2" customWidth="1"/>
    <col min="13586" max="13586" width="18.5" style="2" customWidth="1"/>
    <col min="13587" max="13587" width="6.25" style="2" customWidth="1"/>
    <col min="13588" max="13588" width="16.875" style="2" customWidth="1"/>
    <col min="13589" max="13589" width="5.375" style="2" customWidth="1"/>
    <col min="13590" max="13590" width="18.875" style="2" customWidth="1"/>
    <col min="13591" max="13591" width="5.375" style="2" customWidth="1"/>
    <col min="13592" max="13592" width="18" style="2" customWidth="1"/>
    <col min="13593" max="13593" width="5.375" style="2" customWidth="1"/>
    <col min="13594" max="13594" width="18.875" style="2" customWidth="1"/>
    <col min="13595" max="13595" width="5.375" style="2" customWidth="1"/>
    <col min="13596" max="13596" width="17.75" style="2" customWidth="1"/>
    <col min="13597" max="13597" width="5.375" style="2" customWidth="1"/>
    <col min="13598" max="13598" width="17.75" style="2" customWidth="1"/>
    <col min="13599" max="13599" width="5.375" style="2" customWidth="1"/>
    <col min="13600" max="13603" width="7.125" style="2" customWidth="1"/>
    <col min="13604" max="13604" width="9.125" style="2" customWidth="1"/>
    <col min="13605" max="13605" width="16.5" style="2" customWidth="1"/>
    <col min="13606" max="13606" width="5.375" style="2" customWidth="1"/>
    <col min="13607" max="13607" width="16.5" style="2" customWidth="1"/>
    <col min="13608" max="13608" width="5.375" style="2" customWidth="1"/>
    <col min="13609" max="13609" width="16.5" style="2" customWidth="1"/>
    <col min="13610" max="13610" width="5.375" style="2" customWidth="1"/>
    <col min="13611" max="13611" width="21.375" style="2" customWidth="1"/>
    <col min="13612" max="13612" width="5.375" style="2" customWidth="1"/>
    <col min="13613" max="13613" width="19" style="2" customWidth="1"/>
    <col min="13614" max="13614" width="5.375" style="2" customWidth="1"/>
    <col min="13615" max="13615" width="20.75" style="2" customWidth="1"/>
    <col min="13616" max="13616" width="5.375" style="2" customWidth="1"/>
    <col min="13617" max="13617" width="19.625" style="2" customWidth="1"/>
    <col min="13618" max="13618" width="6.375" style="2" customWidth="1"/>
    <col min="13619" max="13619" width="14.375" style="2" customWidth="1"/>
    <col min="13620" max="13620" width="5.375" style="2" customWidth="1"/>
    <col min="13621" max="13621" width="6.375" style="2" customWidth="1"/>
    <col min="13622" max="13622" width="7.75" style="2" customWidth="1"/>
    <col min="13623" max="13624" width="7.125" style="2" customWidth="1"/>
    <col min="13625" max="13625" width="10.875" style="2" customWidth="1"/>
    <col min="13626" max="13829" width="9" style="2"/>
    <col min="13830" max="13830" width="4.25" style="2" bestFit="1" customWidth="1"/>
    <col min="13831" max="13831" width="13.625" style="2" customWidth="1"/>
    <col min="13832" max="13835" width="7.125" style="2" customWidth="1"/>
    <col min="13836" max="13836" width="18" style="2" customWidth="1"/>
    <col min="13837" max="13837" width="5.375" style="2" customWidth="1"/>
    <col min="13838" max="13838" width="17.375" style="2" customWidth="1"/>
    <col min="13839" max="13839" width="5.375" style="2" customWidth="1"/>
    <col min="13840" max="13840" width="21.375" style="2" customWidth="1"/>
    <col min="13841" max="13841" width="5.375" style="2" customWidth="1"/>
    <col min="13842" max="13842" width="18.5" style="2" customWidth="1"/>
    <col min="13843" max="13843" width="6.25" style="2" customWidth="1"/>
    <col min="13844" max="13844" width="16.875" style="2" customWidth="1"/>
    <col min="13845" max="13845" width="5.375" style="2" customWidth="1"/>
    <col min="13846" max="13846" width="18.875" style="2" customWidth="1"/>
    <col min="13847" max="13847" width="5.375" style="2" customWidth="1"/>
    <col min="13848" max="13848" width="18" style="2" customWidth="1"/>
    <col min="13849" max="13849" width="5.375" style="2" customWidth="1"/>
    <col min="13850" max="13850" width="18.875" style="2" customWidth="1"/>
    <col min="13851" max="13851" width="5.375" style="2" customWidth="1"/>
    <col min="13852" max="13852" width="17.75" style="2" customWidth="1"/>
    <col min="13853" max="13853" width="5.375" style="2" customWidth="1"/>
    <col min="13854" max="13854" width="17.75" style="2" customWidth="1"/>
    <col min="13855" max="13855" width="5.375" style="2" customWidth="1"/>
    <col min="13856" max="13859" width="7.125" style="2" customWidth="1"/>
    <col min="13860" max="13860" width="9.125" style="2" customWidth="1"/>
    <col min="13861" max="13861" width="16.5" style="2" customWidth="1"/>
    <col min="13862" max="13862" width="5.375" style="2" customWidth="1"/>
    <col min="13863" max="13863" width="16.5" style="2" customWidth="1"/>
    <col min="13864" max="13864" width="5.375" style="2" customWidth="1"/>
    <col min="13865" max="13865" width="16.5" style="2" customWidth="1"/>
    <col min="13866" max="13866" width="5.375" style="2" customWidth="1"/>
    <col min="13867" max="13867" width="21.375" style="2" customWidth="1"/>
    <col min="13868" max="13868" width="5.375" style="2" customWidth="1"/>
    <col min="13869" max="13869" width="19" style="2" customWidth="1"/>
    <col min="13870" max="13870" width="5.375" style="2" customWidth="1"/>
    <col min="13871" max="13871" width="20.75" style="2" customWidth="1"/>
    <col min="13872" max="13872" width="5.375" style="2" customWidth="1"/>
    <col min="13873" max="13873" width="19.625" style="2" customWidth="1"/>
    <col min="13874" max="13874" width="6.375" style="2" customWidth="1"/>
    <col min="13875" max="13875" width="14.375" style="2" customWidth="1"/>
    <col min="13876" max="13876" width="5.375" style="2" customWidth="1"/>
    <col min="13877" max="13877" width="6.375" style="2" customWidth="1"/>
    <col min="13878" max="13878" width="7.75" style="2" customWidth="1"/>
    <col min="13879" max="13880" width="7.125" style="2" customWidth="1"/>
    <col min="13881" max="13881" width="10.875" style="2" customWidth="1"/>
    <col min="13882" max="14085" width="9" style="2"/>
    <col min="14086" max="14086" width="4.25" style="2" bestFit="1" customWidth="1"/>
    <col min="14087" max="14087" width="13.625" style="2" customWidth="1"/>
    <col min="14088" max="14091" width="7.125" style="2" customWidth="1"/>
    <col min="14092" max="14092" width="18" style="2" customWidth="1"/>
    <col min="14093" max="14093" width="5.375" style="2" customWidth="1"/>
    <col min="14094" max="14094" width="17.375" style="2" customWidth="1"/>
    <col min="14095" max="14095" width="5.375" style="2" customWidth="1"/>
    <col min="14096" max="14096" width="21.375" style="2" customWidth="1"/>
    <col min="14097" max="14097" width="5.375" style="2" customWidth="1"/>
    <col min="14098" max="14098" width="18.5" style="2" customWidth="1"/>
    <col min="14099" max="14099" width="6.25" style="2" customWidth="1"/>
    <col min="14100" max="14100" width="16.875" style="2" customWidth="1"/>
    <col min="14101" max="14101" width="5.375" style="2" customWidth="1"/>
    <col min="14102" max="14102" width="18.875" style="2" customWidth="1"/>
    <col min="14103" max="14103" width="5.375" style="2" customWidth="1"/>
    <col min="14104" max="14104" width="18" style="2" customWidth="1"/>
    <col min="14105" max="14105" width="5.375" style="2" customWidth="1"/>
    <col min="14106" max="14106" width="18.875" style="2" customWidth="1"/>
    <col min="14107" max="14107" width="5.375" style="2" customWidth="1"/>
    <col min="14108" max="14108" width="17.75" style="2" customWidth="1"/>
    <col min="14109" max="14109" width="5.375" style="2" customWidth="1"/>
    <col min="14110" max="14110" width="17.75" style="2" customWidth="1"/>
    <col min="14111" max="14111" width="5.375" style="2" customWidth="1"/>
    <col min="14112" max="14115" width="7.125" style="2" customWidth="1"/>
    <col min="14116" max="14116" width="9.125" style="2" customWidth="1"/>
    <col min="14117" max="14117" width="16.5" style="2" customWidth="1"/>
    <col min="14118" max="14118" width="5.375" style="2" customWidth="1"/>
    <col min="14119" max="14119" width="16.5" style="2" customWidth="1"/>
    <col min="14120" max="14120" width="5.375" style="2" customWidth="1"/>
    <col min="14121" max="14121" width="16.5" style="2" customWidth="1"/>
    <col min="14122" max="14122" width="5.375" style="2" customWidth="1"/>
    <col min="14123" max="14123" width="21.375" style="2" customWidth="1"/>
    <col min="14124" max="14124" width="5.375" style="2" customWidth="1"/>
    <col min="14125" max="14125" width="19" style="2" customWidth="1"/>
    <col min="14126" max="14126" width="5.375" style="2" customWidth="1"/>
    <col min="14127" max="14127" width="20.75" style="2" customWidth="1"/>
    <col min="14128" max="14128" width="5.375" style="2" customWidth="1"/>
    <col min="14129" max="14129" width="19.625" style="2" customWidth="1"/>
    <col min="14130" max="14130" width="6.375" style="2" customWidth="1"/>
    <col min="14131" max="14131" width="14.375" style="2" customWidth="1"/>
    <col min="14132" max="14132" width="5.375" style="2" customWidth="1"/>
    <col min="14133" max="14133" width="6.375" style="2" customWidth="1"/>
    <col min="14134" max="14134" width="7.75" style="2" customWidth="1"/>
    <col min="14135" max="14136" width="7.125" style="2" customWidth="1"/>
    <col min="14137" max="14137" width="10.875" style="2" customWidth="1"/>
    <col min="14138" max="14341" width="9" style="2"/>
    <col min="14342" max="14342" width="4.25" style="2" bestFit="1" customWidth="1"/>
    <col min="14343" max="14343" width="13.625" style="2" customWidth="1"/>
    <col min="14344" max="14347" width="7.125" style="2" customWidth="1"/>
    <col min="14348" max="14348" width="18" style="2" customWidth="1"/>
    <col min="14349" max="14349" width="5.375" style="2" customWidth="1"/>
    <col min="14350" max="14350" width="17.375" style="2" customWidth="1"/>
    <col min="14351" max="14351" width="5.375" style="2" customWidth="1"/>
    <col min="14352" max="14352" width="21.375" style="2" customWidth="1"/>
    <col min="14353" max="14353" width="5.375" style="2" customWidth="1"/>
    <col min="14354" max="14354" width="18.5" style="2" customWidth="1"/>
    <col min="14355" max="14355" width="6.25" style="2" customWidth="1"/>
    <col min="14356" max="14356" width="16.875" style="2" customWidth="1"/>
    <col min="14357" max="14357" width="5.375" style="2" customWidth="1"/>
    <col min="14358" max="14358" width="18.875" style="2" customWidth="1"/>
    <col min="14359" max="14359" width="5.375" style="2" customWidth="1"/>
    <col min="14360" max="14360" width="18" style="2" customWidth="1"/>
    <col min="14361" max="14361" width="5.375" style="2" customWidth="1"/>
    <col min="14362" max="14362" width="18.875" style="2" customWidth="1"/>
    <col min="14363" max="14363" width="5.375" style="2" customWidth="1"/>
    <col min="14364" max="14364" width="17.75" style="2" customWidth="1"/>
    <col min="14365" max="14365" width="5.375" style="2" customWidth="1"/>
    <col min="14366" max="14366" width="17.75" style="2" customWidth="1"/>
    <col min="14367" max="14367" width="5.375" style="2" customWidth="1"/>
    <col min="14368" max="14371" width="7.125" style="2" customWidth="1"/>
    <col min="14372" max="14372" width="9.125" style="2" customWidth="1"/>
    <col min="14373" max="14373" width="16.5" style="2" customWidth="1"/>
    <col min="14374" max="14374" width="5.375" style="2" customWidth="1"/>
    <col min="14375" max="14375" width="16.5" style="2" customWidth="1"/>
    <col min="14376" max="14376" width="5.375" style="2" customWidth="1"/>
    <col min="14377" max="14377" width="16.5" style="2" customWidth="1"/>
    <col min="14378" max="14378" width="5.375" style="2" customWidth="1"/>
    <col min="14379" max="14379" width="21.375" style="2" customWidth="1"/>
    <col min="14380" max="14380" width="5.375" style="2" customWidth="1"/>
    <col min="14381" max="14381" width="19" style="2" customWidth="1"/>
    <col min="14382" max="14382" width="5.375" style="2" customWidth="1"/>
    <col min="14383" max="14383" width="20.75" style="2" customWidth="1"/>
    <col min="14384" max="14384" width="5.375" style="2" customWidth="1"/>
    <col min="14385" max="14385" width="19.625" style="2" customWidth="1"/>
    <col min="14386" max="14386" width="6.375" style="2" customWidth="1"/>
    <col min="14387" max="14387" width="14.375" style="2" customWidth="1"/>
    <col min="14388" max="14388" width="5.375" style="2" customWidth="1"/>
    <col min="14389" max="14389" width="6.375" style="2" customWidth="1"/>
    <col min="14390" max="14390" width="7.75" style="2" customWidth="1"/>
    <col min="14391" max="14392" width="7.125" style="2" customWidth="1"/>
    <col min="14393" max="14393" width="10.875" style="2" customWidth="1"/>
    <col min="14394" max="14597" width="9" style="2"/>
    <col min="14598" max="14598" width="4.25" style="2" bestFit="1" customWidth="1"/>
    <col min="14599" max="14599" width="13.625" style="2" customWidth="1"/>
    <col min="14600" max="14603" width="7.125" style="2" customWidth="1"/>
    <col min="14604" max="14604" width="18" style="2" customWidth="1"/>
    <col min="14605" max="14605" width="5.375" style="2" customWidth="1"/>
    <col min="14606" max="14606" width="17.375" style="2" customWidth="1"/>
    <col min="14607" max="14607" width="5.375" style="2" customWidth="1"/>
    <col min="14608" max="14608" width="21.375" style="2" customWidth="1"/>
    <col min="14609" max="14609" width="5.375" style="2" customWidth="1"/>
    <col min="14610" max="14610" width="18.5" style="2" customWidth="1"/>
    <col min="14611" max="14611" width="6.25" style="2" customWidth="1"/>
    <col min="14612" max="14612" width="16.875" style="2" customWidth="1"/>
    <col min="14613" max="14613" width="5.375" style="2" customWidth="1"/>
    <col min="14614" max="14614" width="18.875" style="2" customWidth="1"/>
    <col min="14615" max="14615" width="5.375" style="2" customWidth="1"/>
    <col min="14616" max="14616" width="18" style="2" customWidth="1"/>
    <col min="14617" max="14617" width="5.375" style="2" customWidth="1"/>
    <col min="14618" max="14618" width="18.875" style="2" customWidth="1"/>
    <col min="14619" max="14619" width="5.375" style="2" customWidth="1"/>
    <col min="14620" max="14620" width="17.75" style="2" customWidth="1"/>
    <col min="14621" max="14621" width="5.375" style="2" customWidth="1"/>
    <col min="14622" max="14622" width="17.75" style="2" customWidth="1"/>
    <col min="14623" max="14623" width="5.375" style="2" customWidth="1"/>
    <col min="14624" max="14627" width="7.125" style="2" customWidth="1"/>
    <col min="14628" max="14628" width="9.125" style="2" customWidth="1"/>
    <col min="14629" max="14629" width="16.5" style="2" customWidth="1"/>
    <col min="14630" max="14630" width="5.375" style="2" customWidth="1"/>
    <col min="14631" max="14631" width="16.5" style="2" customWidth="1"/>
    <col min="14632" max="14632" width="5.375" style="2" customWidth="1"/>
    <col min="14633" max="14633" width="16.5" style="2" customWidth="1"/>
    <col min="14634" max="14634" width="5.375" style="2" customWidth="1"/>
    <col min="14635" max="14635" width="21.375" style="2" customWidth="1"/>
    <col min="14636" max="14636" width="5.375" style="2" customWidth="1"/>
    <col min="14637" max="14637" width="19" style="2" customWidth="1"/>
    <col min="14638" max="14638" width="5.375" style="2" customWidth="1"/>
    <col min="14639" max="14639" width="20.75" style="2" customWidth="1"/>
    <col min="14640" max="14640" width="5.375" style="2" customWidth="1"/>
    <col min="14641" max="14641" width="19.625" style="2" customWidth="1"/>
    <col min="14642" max="14642" width="6.375" style="2" customWidth="1"/>
    <col min="14643" max="14643" width="14.375" style="2" customWidth="1"/>
    <col min="14644" max="14644" width="5.375" style="2" customWidth="1"/>
    <col min="14645" max="14645" width="6.375" style="2" customWidth="1"/>
    <col min="14646" max="14646" width="7.75" style="2" customWidth="1"/>
    <col min="14647" max="14648" width="7.125" style="2" customWidth="1"/>
    <col min="14649" max="14649" width="10.875" style="2" customWidth="1"/>
    <col min="14650" max="14853" width="9" style="2"/>
    <col min="14854" max="14854" width="4.25" style="2" bestFit="1" customWidth="1"/>
    <col min="14855" max="14855" width="13.625" style="2" customWidth="1"/>
    <col min="14856" max="14859" width="7.125" style="2" customWidth="1"/>
    <col min="14860" max="14860" width="18" style="2" customWidth="1"/>
    <col min="14861" max="14861" width="5.375" style="2" customWidth="1"/>
    <col min="14862" max="14862" width="17.375" style="2" customWidth="1"/>
    <col min="14863" max="14863" width="5.375" style="2" customWidth="1"/>
    <col min="14864" max="14864" width="21.375" style="2" customWidth="1"/>
    <col min="14865" max="14865" width="5.375" style="2" customWidth="1"/>
    <col min="14866" max="14866" width="18.5" style="2" customWidth="1"/>
    <col min="14867" max="14867" width="6.25" style="2" customWidth="1"/>
    <col min="14868" max="14868" width="16.875" style="2" customWidth="1"/>
    <col min="14869" max="14869" width="5.375" style="2" customWidth="1"/>
    <col min="14870" max="14870" width="18.875" style="2" customWidth="1"/>
    <col min="14871" max="14871" width="5.375" style="2" customWidth="1"/>
    <col min="14872" max="14872" width="18" style="2" customWidth="1"/>
    <col min="14873" max="14873" width="5.375" style="2" customWidth="1"/>
    <col min="14874" max="14874" width="18.875" style="2" customWidth="1"/>
    <col min="14875" max="14875" width="5.375" style="2" customWidth="1"/>
    <col min="14876" max="14876" width="17.75" style="2" customWidth="1"/>
    <col min="14877" max="14877" width="5.375" style="2" customWidth="1"/>
    <col min="14878" max="14878" width="17.75" style="2" customWidth="1"/>
    <col min="14879" max="14879" width="5.375" style="2" customWidth="1"/>
    <col min="14880" max="14883" width="7.125" style="2" customWidth="1"/>
    <col min="14884" max="14884" width="9.125" style="2" customWidth="1"/>
    <col min="14885" max="14885" width="16.5" style="2" customWidth="1"/>
    <col min="14886" max="14886" width="5.375" style="2" customWidth="1"/>
    <col min="14887" max="14887" width="16.5" style="2" customWidth="1"/>
    <col min="14888" max="14888" width="5.375" style="2" customWidth="1"/>
    <col min="14889" max="14889" width="16.5" style="2" customWidth="1"/>
    <col min="14890" max="14890" width="5.375" style="2" customWidth="1"/>
    <col min="14891" max="14891" width="21.375" style="2" customWidth="1"/>
    <col min="14892" max="14892" width="5.375" style="2" customWidth="1"/>
    <col min="14893" max="14893" width="19" style="2" customWidth="1"/>
    <col min="14894" max="14894" width="5.375" style="2" customWidth="1"/>
    <col min="14895" max="14895" width="20.75" style="2" customWidth="1"/>
    <col min="14896" max="14896" width="5.375" style="2" customWidth="1"/>
    <col min="14897" max="14897" width="19.625" style="2" customWidth="1"/>
    <col min="14898" max="14898" width="6.375" style="2" customWidth="1"/>
    <col min="14899" max="14899" width="14.375" style="2" customWidth="1"/>
    <col min="14900" max="14900" width="5.375" style="2" customWidth="1"/>
    <col min="14901" max="14901" width="6.375" style="2" customWidth="1"/>
    <col min="14902" max="14902" width="7.75" style="2" customWidth="1"/>
    <col min="14903" max="14904" width="7.125" style="2" customWidth="1"/>
    <col min="14905" max="14905" width="10.875" style="2" customWidth="1"/>
    <col min="14906" max="15109" width="9" style="2"/>
    <col min="15110" max="15110" width="4.25" style="2" bestFit="1" customWidth="1"/>
    <col min="15111" max="15111" width="13.625" style="2" customWidth="1"/>
    <col min="15112" max="15115" width="7.125" style="2" customWidth="1"/>
    <col min="15116" max="15116" width="18" style="2" customWidth="1"/>
    <col min="15117" max="15117" width="5.375" style="2" customWidth="1"/>
    <col min="15118" max="15118" width="17.375" style="2" customWidth="1"/>
    <col min="15119" max="15119" width="5.375" style="2" customWidth="1"/>
    <col min="15120" max="15120" width="21.375" style="2" customWidth="1"/>
    <col min="15121" max="15121" width="5.375" style="2" customWidth="1"/>
    <col min="15122" max="15122" width="18.5" style="2" customWidth="1"/>
    <col min="15123" max="15123" width="6.25" style="2" customWidth="1"/>
    <col min="15124" max="15124" width="16.875" style="2" customWidth="1"/>
    <col min="15125" max="15125" width="5.375" style="2" customWidth="1"/>
    <col min="15126" max="15126" width="18.875" style="2" customWidth="1"/>
    <col min="15127" max="15127" width="5.375" style="2" customWidth="1"/>
    <col min="15128" max="15128" width="18" style="2" customWidth="1"/>
    <col min="15129" max="15129" width="5.375" style="2" customWidth="1"/>
    <col min="15130" max="15130" width="18.875" style="2" customWidth="1"/>
    <col min="15131" max="15131" width="5.375" style="2" customWidth="1"/>
    <col min="15132" max="15132" width="17.75" style="2" customWidth="1"/>
    <col min="15133" max="15133" width="5.375" style="2" customWidth="1"/>
    <col min="15134" max="15134" width="17.75" style="2" customWidth="1"/>
    <col min="15135" max="15135" width="5.375" style="2" customWidth="1"/>
    <col min="15136" max="15139" width="7.125" style="2" customWidth="1"/>
    <col min="15140" max="15140" width="9.125" style="2" customWidth="1"/>
    <col min="15141" max="15141" width="16.5" style="2" customWidth="1"/>
    <col min="15142" max="15142" width="5.375" style="2" customWidth="1"/>
    <col min="15143" max="15143" width="16.5" style="2" customWidth="1"/>
    <col min="15144" max="15144" width="5.375" style="2" customWidth="1"/>
    <col min="15145" max="15145" width="16.5" style="2" customWidth="1"/>
    <col min="15146" max="15146" width="5.375" style="2" customWidth="1"/>
    <col min="15147" max="15147" width="21.375" style="2" customWidth="1"/>
    <col min="15148" max="15148" width="5.375" style="2" customWidth="1"/>
    <col min="15149" max="15149" width="19" style="2" customWidth="1"/>
    <col min="15150" max="15150" width="5.375" style="2" customWidth="1"/>
    <col min="15151" max="15151" width="20.75" style="2" customWidth="1"/>
    <col min="15152" max="15152" width="5.375" style="2" customWidth="1"/>
    <col min="15153" max="15153" width="19.625" style="2" customWidth="1"/>
    <col min="15154" max="15154" width="6.375" style="2" customWidth="1"/>
    <col min="15155" max="15155" width="14.375" style="2" customWidth="1"/>
    <col min="15156" max="15156" width="5.375" style="2" customWidth="1"/>
    <col min="15157" max="15157" width="6.375" style="2" customWidth="1"/>
    <col min="15158" max="15158" width="7.75" style="2" customWidth="1"/>
    <col min="15159" max="15160" width="7.125" style="2" customWidth="1"/>
    <col min="15161" max="15161" width="10.875" style="2" customWidth="1"/>
    <col min="15162" max="15365" width="9" style="2"/>
    <col min="15366" max="15366" width="4.25" style="2" bestFit="1" customWidth="1"/>
    <col min="15367" max="15367" width="13.625" style="2" customWidth="1"/>
    <col min="15368" max="15371" width="7.125" style="2" customWidth="1"/>
    <col min="15372" max="15372" width="18" style="2" customWidth="1"/>
    <col min="15373" max="15373" width="5.375" style="2" customWidth="1"/>
    <col min="15374" max="15374" width="17.375" style="2" customWidth="1"/>
    <col min="15375" max="15375" width="5.375" style="2" customWidth="1"/>
    <col min="15376" max="15376" width="21.375" style="2" customWidth="1"/>
    <col min="15377" max="15377" width="5.375" style="2" customWidth="1"/>
    <col min="15378" max="15378" width="18.5" style="2" customWidth="1"/>
    <col min="15379" max="15379" width="6.25" style="2" customWidth="1"/>
    <col min="15380" max="15380" width="16.875" style="2" customWidth="1"/>
    <col min="15381" max="15381" width="5.375" style="2" customWidth="1"/>
    <col min="15382" max="15382" width="18.875" style="2" customWidth="1"/>
    <col min="15383" max="15383" width="5.375" style="2" customWidth="1"/>
    <col min="15384" max="15384" width="18" style="2" customWidth="1"/>
    <col min="15385" max="15385" width="5.375" style="2" customWidth="1"/>
    <col min="15386" max="15386" width="18.875" style="2" customWidth="1"/>
    <col min="15387" max="15387" width="5.375" style="2" customWidth="1"/>
    <col min="15388" max="15388" width="17.75" style="2" customWidth="1"/>
    <col min="15389" max="15389" width="5.375" style="2" customWidth="1"/>
    <col min="15390" max="15390" width="17.75" style="2" customWidth="1"/>
    <col min="15391" max="15391" width="5.375" style="2" customWidth="1"/>
    <col min="15392" max="15395" width="7.125" style="2" customWidth="1"/>
    <col min="15396" max="15396" width="9.125" style="2" customWidth="1"/>
    <col min="15397" max="15397" width="16.5" style="2" customWidth="1"/>
    <col min="15398" max="15398" width="5.375" style="2" customWidth="1"/>
    <col min="15399" max="15399" width="16.5" style="2" customWidth="1"/>
    <col min="15400" max="15400" width="5.375" style="2" customWidth="1"/>
    <col min="15401" max="15401" width="16.5" style="2" customWidth="1"/>
    <col min="15402" max="15402" width="5.375" style="2" customWidth="1"/>
    <col min="15403" max="15403" width="21.375" style="2" customWidth="1"/>
    <col min="15404" max="15404" width="5.375" style="2" customWidth="1"/>
    <col min="15405" max="15405" width="19" style="2" customWidth="1"/>
    <col min="15406" max="15406" width="5.375" style="2" customWidth="1"/>
    <col min="15407" max="15407" width="20.75" style="2" customWidth="1"/>
    <col min="15408" max="15408" width="5.375" style="2" customWidth="1"/>
    <col min="15409" max="15409" width="19.625" style="2" customWidth="1"/>
    <col min="15410" max="15410" width="6.375" style="2" customWidth="1"/>
    <col min="15411" max="15411" width="14.375" style="2" customWidth="1"/>
    <col min="15412" max="15412" width="5.375" style="2" customWidth="1"/>
    <col min="15413" max="15413" width="6.375" style="2" customWidth="1"/>
    <col min="15414" max="15414" width="7.75" style="2" customWidth="1"/>
    <col min="15415" max="15416" width="7.125" style="2" customWidth="1"/>
    <col min="15417" max="15417" width="10.875" style="2" customWidth="1"/>
    <col min="15418" max="15621" width="9" style="2"/>
    <col min="15622" max="15622" width="4.25" style="2" bestFit="1" customWidth="1"/>
    <col min="15623" max="15623" width="13.625" style="2" customWidth="1"/>
    <col min="15624" max="15627" width="7.125" style="2" customWidth="1"/>
    <col min="15628" max="15628" width="18" style="2" customWidth="1"/>
    <col min="15629" max="15629" width="5.375" style="2" customWidth="1"/>
    <col min="15630" max="15630" width="17.375" style="2" customWidth="1"/>
    <col min="15631" max="15631" width="5.375" style="2" customWidth="1"/>
    <col min="15632" max="15632" width="21.375" style="2" customWidth="1"/>
    <col min="15633" max="15633" width="5.375" style="2" customWidth="1"/>
    <col min="15634" max="15634" width="18.5" style="2" customWidth="1"/>
    <col min="15635" max="15635" width="6.25" style="2" customWidth="1"/>
    <col min="15636" max="15636" width="16.875" style="2" customWidth="1"/>
    <col min="15637" max="15637" width="5.375" style="2" customWidth="1"/>
    <col min="15638" max="15638" width="18.875" style="2" customWidth="1"/>
    <col min="15639" max="15639" width="5.375" style="2" customWidth="1"/>
    <col min="15640" max="15640" width="18" style="2" customWidth="1"/>
    <col min="15641" max="15641" width="5.375" style="2" customWidth="1"/>
    <col min="15642" max="15642" width="18.875" style="2" customWidth="1"/>
    <col min="15643" max="15643" width="5.375" style="2" customWidth="1"/>
    <col min="15644" max="15644" width="17.75" style="2" customWidth="1"/>
    <col min="15645" max="15645" width="5.375" style="2" customWidth="1"/>
    <col min="15646" max="15646" width="17.75" style="2" customWidth="1"/>
    <col min="15647" max="15647" width="5.375" style="2" customWidth="1"/>
    <col min="15648" max="15651" width="7.125" style="2" customWidth="1"/>
    <col min="15652" max="15652" width="9.125" style="2" customWidth="1"/>
    <col min="15653" max="15653" width="16.5" style="2" customWidth="1"/>
    <col min="15654" max="15654" width="5.375" style="2" customWidth="1"/>
    <col min="15655" max="15655" width="16.5" style="2" customWidth="1"/>
    <col min="15656" max="15656" width="5.375" style="2" customWidth="1"/>
    <col min="15657" max="15657" width="16.5" style="2" customWidth="1"/>
    <col min="15658" max="15658" width="5.375" style="2" customWidth="1"/>
    <col min="15659" max="15659" width="21.375" style="2" customWidth="1"/>
    <col min="15660" max="15660" width="5.375" style="2" customWidth="1"/>
    <col min="15661" max="15661" width="19" style="2" customWidth="1"/>
    <col min="15662" max="15662" width="5.375" style="2" customWidth="1"/>
    <col min="15663" max="15663" width="20.75" style="2" customWidth="1"/>
    <col min="15664" max="15664" width="5.375" style="2" customWidth="1"/>
    <col min="15665" max="15665" width="19.625" style="2" customWidth="1"/>
    <col min="15666" max="15666" width="6.375" style="2" customWidth="1"/>
    <col min="15667" max="15667" width="14.375" style="2" customWidth="1"/>
    <col min="15668" max="15668" width="5.375" style="2" customWidth="1"/>
    <col min="15669" max="15669" width="6.375" style="2" customWidth="1"/>
    <col min="15670" max="15670" width="7.75" style="2" customWidth="1"/>
    <col min="15671" max="15672" width="7.125" style="2" customWidth="1"/>
    <col min="15673" max="15673" width="10.875" style="2" customWidth="1"/>
    <col min="15674" max="15877" width="9" style="2"/>
    <col min="15878" max="15878" width="4.25" style="2" bestFit="1" customWidth="1"/>
    <col min="15879" max="15879" width="13.625" style="2" customWidth="1"/>
    <col min="15880" max="15883" width="7.125" style="2" customWidth="1"/>
    <col min="15884" max="15884" width="18" style="2" customWidth="1"/>
    <col min="15885" max="15885" width="5.375" style="2" customWidth="1"/>
    <col min="15886" max="15886" width="17.375" style="2" customWidth="1"/>
    <col min="15887" max="15887" width="5.375" style="2" customWidth="1"/>
    <col min="15888" max="15888" width="21.375" style="2" customWidth="1"/>
    <col min="15889" max="15889" width="5.375" style="2" customWidth="1"/>
    <col min="15890" max="15890" width="18.5" style="2" customWidth="1"/>
    <col min="15891" max="15891" width="6.25" style="2" customWidth="1"/>
    <col min="15892" max="15892" width="16.875" style="2" customWidth="1"/>
    <col min="15893" max="15893" width="5.375" style="2" customWidth="1"/>
    <col min="15894" max="15894" width="18.875" style="2" customWidth="1"/>
    <col min="15895" max="15895" width="5.375" style="2" customWidth="1"/>
    <col min="15896" max="15896" width="18" style="2" customWidth="1"/>
    <col min="15897" max="15897" width="5.375" style="2" customWidth="1"/>
    <col min="15898" max="15898" width="18.875" style="2" customWidth="1"/>
    <col min="15899" max="15899" width="5.375" style="2" customWidth="1"/>
    <col min="15900" max="15900" width="17.75" style="2" customWidth="1"/>
    <col min="15901" max="15901" width="5.375" style="2" customWidth="1"/>
    <col min="15902" max="15902" width="17.75" style="2" customWidth="1"/>
    <col min="15903" max="15903" width="5.375" style="2" customWidth="1"/>
    <col min="15904" max="15907" width="7.125" style="2" customWidth="1"/>
    <col min="15908" max="15908" width="9.125" style="2" customWidth="1"/>
    <col min="15909" max="15909" width="16.5" style="2" customWidth="1"/>
    <col min="15910" max="15910" width="5.375" style="2" customWidth="1"/>
    <col min="15911" max="15911" width="16.5" style="2" customWidth="1"/>
    <col min="15912" max="15912" width="5.375" style="2" customWidth="1"/>
    <col min="15913" max="15913" width="16.5" style="2" customWidth="1"/>
    <col min="15914" max="15914" width="5.375" style="2" customWidth="1"/>
    <col min="15915" max="15915" width="21.375" style="2" customWidth="1"/>
    <col min="15916" max="15916" width="5.375" style="2" customWidth="1"/>
    <col min="15917" max="15917" width="19" style="2" customWidth="1"/>
    <col min="15918" max="15918" width="5.375" style="2" customWidth="1"/>
    <col min="15919" max="15919" width="20.75" style="2" customWidth="1"/>
    <col min="15920" max="15920" width="5.375" style="2" customWidth="1"/>
    <col min="15921" max="15921" width="19.625" style="2" customWidth="1"/>
    <col min="15922" max="15922" width="6.375" style="2" customWidth="1"/>
    <col min="15923" max="15923" width="14.375" style="2" customWidth="1"/>
    <col min="15924" max="15924" width="5.375" style="2" customWidth="1"/>
    <col min="15925" max="15925" width="6.375" style="2" customWidth="1"/>
    <col min="15926" max="15926" width="7.75" style="2" customWidth="1"/>
    <col min="15927" max="15928" width="7.125" style="2" customWidth="1"/>
    <col min="15929" max="15929" width="10.875" style="2" customWidth="1"/>
    <col min="15930" max="16133" width="9" style="2"/>
    <col min="16134" max="16134" width="4.25" style="2" bestFit="1" customWidth="1"/>
    <col min="16135" max="16135" width="13.625" style="2" customWidth="1"/>
    <col min="16136" max="16139" width="7.125" style="2" customWidth="1"/>
    <col min="16140" max="16140" width="18" style="2" customWidth="1"/>
    <col min="16141" max="16141" width="5.375" style="2" customWidth="1"/>
    <col min="16142" max="16142" width="17.375" style="2" customWidth="1"/>
    <col min="16143" max="16143" width="5.375" style="2" customWidth="1"/>
    <col min="16144" max="16144" width="21.375" style="2" customWidth="1"/>
    <col min="16145" max="16145" width="5.375" style="2" customWidth="1"/>
    <col min="16146" max="16146" width="18.5" style="2" customWidth="1"/>
    <col min="16147" max="16147" width="6.25" style="2" customWidth="1"/>
    <col min="16148" max="16148" width="16.875" style="2" customWidth="1"/>
    <col min="16149" max="16149" width="5.375" style="2" customWidth="1"/>
    <col min="16150" max="16150" width="18.875" style="2" customWidth="1"/>
    <col min="16151" max="16151" width="5.375" style="2" customWidth="1"/>
    <col min="16152" max="16152" width="18" style="2" customWidth="1"/>
    <col min="16153" max="16153" width="5.375" style="2" customWidth="1"/>
    <col min="16154" max="16154" width="18.875" style="2" customWidth="1"/>
    <col min="16155" max="16155" width="5.375" style="2" customWidth="1"/>
    <col min="16156" max="16156" width="17.75" style="2" customWidth="1"/>
    <col min="16157" max="16157" width="5.375" style="2" customWidth="1"/>
    <col min="16158" max="16158" width="17.75" style="2" customWidth="1"/>
    <col min="16159" max="16159" width="5.375" style="2" customWidth="1"/>
    <col min="16160" max="16163" width="7.125" style="2" customWidth="1"/>
    <col min="16164" max="16164" width="9.125" style="2" customWidth="1"/>
    <col min="16165" max="16165" width="16.5" style="2" customWidth="1"/>
    <col min="16166" max="16166" width="5.375" style="2" customWidth="1"/>
    <col min="16167" max="16167" width="16.5" style="2" customWidth="1"/>
    <col min="16168" max="16168" width="5.375" style="2" customWidth="1"/>
    <col min="16169" max="16169" width="16.5" style="2" customWidth="1"/>
    <col min="16170" max="16170" width="5.375" style="2" customWidth="1"/>
    <col min="16171" max="16171" width="21.375" style="2" customWidth="1"/>
    <col min="16172" max="16172" width="5.375" style="2" customWidth="1"/>
    <col min="16173" max="16173" width="19" style="2" customWidth="1"/>
    <col min="16174" max="16174" width="5.375" style="2" customWidth="1"/>
    <col min="16175" max="16175" width="20.75" style="2" customWidth="1"/>
    <col min="16176" max="16176" width="5.375" style="2" customWidth="1"/>
    <col min="16177" max="16177" width="19.625" style="2" customWidth="1"/>
    <col min="16178" max="16178" width="6.375" style="2" customWidth="1"/>
    <col min="16179" max="16179" width="14.375" style="2" customWidth="1"/>
    <col min="16180" max="16180" width="5.375" style="2" customWidth="1"/>
    <col min="16181" max="16181" width="6.375" style="2" customWidth="1"/>
    <col min="16182" max="16182" width="7.75" style="2" customWidth="1"/>
    <col min="16183" max="16184" width="7.125" style="2" customWidth="1"/>
    <col min="16185" max="16185" width="10.875" style="2" customWidth="1"/>
    <col min="16186" max="16384" width="9" style="2"/>
  </cols>
  <sheetData>
    <row r="1" spans="1:57" ht="46.5" x14ac:dyDescent="0.3">
      <c r="A1" s="225" t="s">
        <v>63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225"/>
      <c r="BC1" s="225"/>
      <c r="BD1" s="225"/>
    </row>
    <row r="2" spans="1:57" s="1" customFormat="1" ht="24.75" customHeight="1" thickBot="1" x14ac:dyDescent="0.2">
      <c r="A2" s="3"/>
      <c r="B2" s="3"/>
      <c r="C2" s="3"/>
      <c r="D2" s="3"/>
      <c r="E2" s="3"/>
      <c r="F2" s="3"/>
      <c r="G2" s="3"/>
      <c r="H2" s="3"/>
      <c r="I2" s="226" t="s">
        <v>0</v>
      </c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32"/>
      <c r="AP2" s="4"/>
      <c r="AQ2" s="4"/>
      <c r="AR2" s="4"/>
      <c r="AS2" s="4"/>
      <c r="AT2" s="4"/>
      <c r="AU2" s="4"/>
      <c r="AV2" s="4"/>
      <c r="AW2" s="5"/>
      <c r="AX2" s="6"/>
      <c r="AY2" s="5"/>
      <c r="AZ2" s="6"/>
      <c r="BA2" s="6"/>
      <c r="BB2" s="6"/>
      <c r="BC2" s="6"/>
      <c r="BD2" s="6"/>
    </row>
    <row r="3" spans="1:57" s="7" customFormat="1" ht="21" customHeight="1" x14ac:dyDescent="0.25">
      <c r="A3" s="227" t="s">
        <v>1</v>
      </c>
      <c r="B3" s="228" t="s">
        <v>2</v>
      </c>
      <c r="C3" s="231" t="s">
        <v>62</v>
      </c>
      <c r="D3" s="231"/>
      <c r="E3" s="231"/>
      <c r="F3" s="231"/>
      <c r="G3" s="231"/>
      <c r="H3" s="232" t="s">
        <v>41</v>
      </c>
      <c r="I3" s="235" t="s">
        <v>3</v>
      </c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7"/>
      <c r="AA3" s="38"/>
      <c r="AB3" s="38"/>
      <c r="AC3" s="238" t="s">
        <v>4</v>
      </c>
      <c r="AD3" s="241" t="s">
        <v>64</v>
      </c>
      <c r="AE3" s="231"/>
      <c r="AF3" s="231"/>
      <c r="AG3" s="231"/>
      <c r="AH3" s="231"/>
      <c r="AI3" s="231"/>
      <c r="AJ3" s="242" t="s">
        <v>5</v>
      </c>
      <c r="AK3" s="212" t="s">
        <v>31</v>
      </c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3" t="s">
        <v>6</v>
      </c>
      <c r="BB3" s="216" t="s">
        <v>7</v>
      </c>
      <c r="BC3" s="219" t="s">
        <v>8</v>
      </c>
      <c r="BD3" s="245" t="s">
        <v>9</v>
      </c>
      <c r="BE3" s="207" t="s">
        <v>10</v>
      </c>
    </row>
    <row r="4" spans="1:57" s="7" customFormat="1" ht="43.5" customHeight="1" x14ac:dyDescent="0.25">
      <c r="A4" s="194"/>
      <c r="B4" s="229"/>
      <c r="C4" s="249" t="s">
        <v>11</v>
      </c>
      <c r="D4" s="196" t="s">
        <v>12</v>
      </c>
      <c r="E4" s="39" t="s">
        <v>36</v>
      </c>
      <c r="F4" s="203" t="s">
        <v>32</v>
      </c>
      <c r="G4" s="198" t="s">
        <v>13</v>
      </c>
      <c r="H4" s="233"/>
      <c r="I4" s="251" t="s">
        <v>59</v>
      </c>
      <c r="J4" s="252"/>
      <c r="K4" s="201" t="s">
        <v>60</v>
      </c>
      <c r="L4" s="202"/>
      <c r="M4" s="248" t="s">
        <v>14</v>
      </c>
      <c r="N4" s="200"/>
      <c r="O4" s="200" t="s">
        <v>15</v>
      </c>
      <c r="P4" s="200"/>
      <c r="Q4" s="200" t="s">
        <v>16</v>
      </c>
      <c r="R4" s="200"/>
      <c r="S4" s="200" t="s">
        <v>17</v>
      </c>
      <c r="T4" s="200"/>
      <c r="U4" s="200" t="s">
        <v>18</v>
      </c>
      <c r="V4" s="200"/>
      <c r="W4" s="193" t="s">
        <v>19</v>
      </c>
      <c r="X4" s="193"/>
      <c r="Y4" s="193" t="s">
        <v>20</v>
      </c>
      <c r="Z4" s="193"/>
      <c r="AA4" s="193" t="s">
        <v>21</v>
      </c>
      <c r="AB4" s="193"/>
      <c r="AC4" s="239"/>
      <c r="AD4" s="194" t="s">
        <v>11</v>
      </c>
      <c r="AE4" s="196" t="s">
        <v>12</v>
      </c>
      <c r="AF4" s="203" t="s">
        <v>36</v>
      </c>
      <c r="AG4" s="205" t="s">
        <v>58</v>
      </c>
      <c r="AH4" s="203" t="s">
        <v>32</v>
      </c>
      <c r="AI4" s="198" t="s">
        <v>13</v>
      </c>
      <c r="AJ4" s="243"/>
      <c r="AK4" s="190" t="s">
        <v>22</v>
      </c>
      <c r="AL4" s="191"/>
      <c r="AM4" s="190" t="s">
        <v>23</v>
      </c>
      <c r="AN4" s="191"/>
      <c r="AO4" s="190" t="s">
        <v>24</v>
      </c>
      <c r="AP4" s="191"/>
      <c r="AQ4" s="208" t="s">
        <v>25</v>
      </c>
      <c r="AR4" s="209"/>
      <c r="AS4" s="208" t="s">
        <v>26</v>
      </c>
      <c r="AT4" s="210"/>
      <c r="AU4" s="211" t="s">
        <v>27</v>
      </c>
      <c r="AV4" s="211"/>
      <c r="AW4" s="222" t="s">
        <v>61</v>
      </c>
      <c r="AX4" s="222"/>
      <c r="AY4" s="223" t="s">
        <v>28</v>
      </c>
      <c r="AZ4" s="224"/>
      <c r="BA4" s="214"/>
      <c r="BB4" s="217"/>
      <c r="BC4" s="220"/>
      <c r="BD4" s="246"/>
      <c r="BE4" s="207"/>
    </row>
    <row r="5" spans="1:57" s="7" customFormat="1" ht="18" customHeight="1" thickBot="1" x14ac:dyDescent="0.3">
      <c r="A5" s="195"/>
      <c r="B5" s="230"/>
      <c r="C5" s="250"/>
      <c r="D5" s="197"/>
      <c r="E5" s="37"/>
      <c r="F5" s="204"/>
      <c r="G5" s="199"/>
      <c r="H5" s="234"/>
      <c r="I5" s="8" t="s">
        <v>29</v>
      </c>
      <c r="J5" s="9" t="s">
        <v>30</v>
      </c>
      <c r="K5" s="9" t="s">
        <v>29</v>
      </c>
      <c r="L5" s="9" t="s">
        <v>30</v>
      </c>
      <c r="M5" s="9" t="s">
        <v>29</v>
      </c>
      <c r="N5" s="9" t="s">
        <v>30</v>
      </c>
      <c r="O5" s="9" t="s">
        <v>29</v>
      </c>
      <c r="P5" s="9" t="s">
        <v>30</v>
      </c>
      <c r="Q5" s="9" t="s">
        <v>29</v>
      </c>
      <c r="R5" s="9" t="s">
        <v>30</v>
      </c>
      <c r="S5" s="9" t="s">
        <v>29</v>
      </c>
      <c r="T5" s="9" t="s">
        <v>30</v>
      </c>
      <c r="U5" s="9" t="s">
        <v>29</v>
      </c>
      <c r="V5" s="9" t="s">
        <v>30</v>
      </c>
      <c r="W5" s="9" t="s">
        <v>29</v>
      </c>
      <c r="X5" s="9" t="s">
        <v>30</v>
      </c>
      <c r="Y5" s="9" t="s">
        <v>29</v>
      </c>
      <c r="Z5" s="9" t="s">
        <v>30</v>
      </c>
      <c r="AA5" s="9" t="s">
        <v>29</v>
      </c>
      <c r="AB5" s="9" t="s">
        <v>30</v>
      </c>
      <c r="AC5" s="240"/>
      <c r="AD5" s="195"/>
      <c r="AE5" s="197"/>
      <c r="AF5" s="204"/>
      <c r="AG5" s="206"/>
      <c r="AH5" s="204"/>
      <c r="AI5" s="199"/>
      <c r="AJ5" s="244"/>
      <c r="AK5" s="10" t="s">
        <v>29</v>
      </c>
      <c r="AL5" s="11" t="s">
        <v>30</v>
      </c>
      <c r="AM5" s="10" t="s">
        <v>29</v>
      </c>
      <c r="AN5" s="11" t="s">
        <v>30</v>
      </c>
      <c r="AO5" s="10" t="s">
        <v>29</v>
      </c>
      <c r="AP5" s="11" t="s">
        <v>30</v>
      </c>
      <c r="AQ5" s="10" t="s">
        <v>29</v>
      </c>
      <c r="AR5" s="11" t="s">
        <v>30</v>
      </c>
      <c r="AS5" s="10" t="s">
        <v>29</v>
      </c>
      <c r="AT5" s="11" t="s">
        <v>30</v>
      </c>
      <c r="AU5" s="10" t="s">
        <v>29</v>
      </c>
      <c r="AV5" s="11" t="s">
        <v>30</v>
      </c>
      <c r="AW5" s="10" t="s">
        <v>29</v>
      </c>
      <c r="AX5" s="11" t="s">
        <v>30</v>
      </c>
      <c r="AY5" s="10" t="s">
        <v>29</v>
      </c>
      <c r="AZ5" s="11" t="s">
        <v>30</v>
      </c>
      <c r="BA5" s="215"/>
      <c r="BB5" s="218"/>
      <c r="BC5" s="221"/>
      <c r="BD5" s="247"/>
      <c r="BE5" s="207"/>
    </row>
    <row r="6" spans="1:57" s="7" customFormat="1" ht="25.5" customHeight="1" thickBot="1" x14ac:dyDescent="0.3">
      <c r="A6" s="188" t="s">
        <v>13</v>
      </c>
      <c r="B6" s="189"/>
      <c r="C6" s="145">
        <v>271</v>
      </c>
      <c r="D6" s="146">
        <v>57</v>
      </c>
      <c r="E6" s="146">
        <f t="shared" ref="E6:AB6" si="0">SUM(E7:E29)</f>
        <v>6</v>
      </c>
      <c r="F6" s="146">
        <f t="shared" si="0"/>
        <v>2</v>
      </c>
      <c r="G6" s="147">
        <v>330</v>
      </c>
      <c r="H6" s="148">
        <v>332</v>
      </c>
      <c r="I6" s="149">
        <f t="shared" si="0"/>
        <v>0</v>
      </c>
      <c r="J6" s="150">
        <f t="shared" si="0"/>
        <v>0</v>
      </c>
      <c r="K6" s="151">
        <f t="shared" si="0"/>
        <v>0</v>
      </c>
      <c r="L6" s="150">
        <f t="shared" si="0"/>
        <v>0</v>
      </c>
      <c r="M6" s="152">
        <f t="shared" si="0"/>
        <v>0</v>
      </c>
      <c r="N6" s="153">
        <f t="shared" si="0"/>
        <v>0</v>
      </c>
      <c r="O6" s="151">
        <f t="shared" si="0"/>
        <v>0</v>
      </c>
      <c r="P6" s="150">
        <f t="shared" si="0"/>
        <v>0</v>
      </c>
      <c r="Q6" s="151">
        <f t="shared" si="0"/>
        <v>0</v>
      </c>
      <c r="R6" s="150">
        <f t="shared" si="0"/>
        <v>0</v>
      </c>
      <c r="S6" s="151">
        <f t="shared" si="0"/>
        <v>0</v>
      </c>
      <c r="T6" s="150">
        <f t="shared" si="0"/>
        <v>0</v>
      </c>
      <c r="U6" s="151">
        <f t="shared" si="0"/>
        <v>0</v>
      </c>
      <c r="V6" s="150">
        <f t="shared" si="0"/>
        <v>0</v>
      </c>
      <c r="W6" s="151">
        <f t="shared" si="0"/>
        <v>0</v>
      </c>
      <c r="X6" s="150">
        <f t="shared" si="0"/>
        <v>0</v>
      </c>
      <c r="Y6" s="151">
        <f t="shared" si="0"/>
        <v>0</v>
      </c>
      <c r="Z6" s="150">
        <f t="shared" si="0"/>
        <v>0</v>
      </c>
      <c r="AA6" s="151">
        <f t="shared" si="0"/>
        <v>0</v>
      </c>
      <c r="AB6" s="150">
        <f t="shared" si="0"/>
        <v>0</v>
      </c>
      <c r="AC6" s="154">
        <f>SUM(J6,L6,N6,T6,V6,P6,R6,X6,Z6,AB6)</f>
        <v>0</v>
      </c>
      <c r="AD6" s="155">
        <f t="shared" ref="AD6:AJ6" si="1">SUM(AD7:AD29)</f>
        <v>271</v>
      </c>
      <c r="AE6" s="146">
        <v>57</v>
      </c>
      <c r="AF6" s="156">
        <f t="shared" si="1"/>
        <v>6</v>
      </c>
      <c r="AG6" s="156">
        <v>3</v>
      </c>
      <c r="AH6" s="156">
        <f t="shared" si="1"/>
        <v>2</v>
      </c>
      <c r="AI6" s="156">
        <f t="shared" si="1"/>
        <v>335</v>
      </c>
      <c r="AJ6" s="157">
        <f t="shared" si="1"/>
        <v>3</v>
      </c>
      <c r="AK6" s="158"/>
      <c r="AL6" s="150">
        <f>SUM(AL7:AL29)</f>
        <v>0</v>
      </c>
      <c r="AM6" s="158"/>
      <c r="AN6" s="150">
        <f>SUM(AN7:AN29)</f>
        <v>0</v>
      </c>
      <c r="AO6" s="158">
        <v>6</v>
      </c>
      <c r="AP6" s="150">
        <f>SUM(AP7:AP29)</f>
        <v>0</v>
      </c>
      <c r="AQ6" s="158">
        <v>0</v>
      </c>
      <c r="AR6" s="150">
        <f>SUM(AR7:AR29)</f>
        <v>0</v>
      </c>
      <c r="AS6" s="152">
        <f t="shared" ref="AS6:AZ6" si="2">SUM(AS7:AS29)</f>
        <v>0</v>
      </c>
      <c r="AT6" s="150">
        <f t="shared" si="2"/>
        <v>0</v>
      </c>
      <c r="AU6" s="152">
        <f t="shared" si="2"/>
        <v>0</v>
      </c>
      <c r="AV6" s="153">
        <f t="shared" si="2"/>
        <v>0</v>
      </c>
      <c r="AW6" s="151">
        <v>0</v>
      </c>
      <c r="AX6" s="150">
        <f>SUM(AX7:AX29)</f>
        <v>0</v>
      </c>
      <c r="AY6" s="151">
        <f t="shared" si="2"/>
        <v>0</v>
      </c>
      <c r="AZ6" s="150">
        <f t="shared" si="2"/>
        <v>0</v>
      </c>
      <c r="BA6" s="159">
        <f>SUM(AL6,AT6,AV6,AX6,AZ6,AN6,AP6,AR6)</f>
        <v>0</v>
      </c>
      <c r="BB6" s="160">
        <f>H6-AC6+BA6</f>
        <v>332</v>
      </c>
      <c r="BC6" s="161">
        <f>SUM(BC7:BC29)</f>
        <v>0</v>
      </c>
      <c r="BD6" s="162">
        <f>BB6-AI6</f>
        <v>-3</v>
      </c>
    </row>
    <row r="7" spans="1:57" s="1" customFormat="1" ht="72" customHeight="1" x14ac:dyDescent="0.15">
      <c r="A7" s="12">
        <v>1</v>
      </c>
      <c r="B7" s="40" t="s">
        <v>42</v>
      </c>
      <c r="C7" s="41">
        <v>5</v>
      </c>
      <c r="D7" s="42"/>
      <c r="E7" s="43"/>
      <c r="F7" s="44"/>
      <c r="G7" s="45">
        <f>SUM(C7:F7)</f>
        <v>5</v>
      </c>
      <c r="H7" s="46">
        <v>5</v>
      </c>
      <c r="I7" s="47"/>
      <c r="J7" s="48">
        <f>LEN(I7)-LEN(SUBSTITUTE(I7,",",""))</f>
        <v>0</v>
      </c>
      <c r="K7" s="49"/>
      <c r="L7" s="50">
        <f>LEN(K7)-LEN(SUBSTITUTE(K7,",",""))</f>
        <v>0</v>
      </c>
      <c r="M7" s="51"/>
      <c r="N7" s="48">
        <f>LEN(M7)-LEN(SUBSTITUTE(M7,",",""))</f>
        <v>0</v>
      </c>
      <c r="O7" s="49"/>
      <c r="P7" s="50">
        <f>LEN(O7)-LEN(SUBSTITUTE(O7,",",""))</f>
        <v>0</v>
      </c>
      <c r="Q7" s="49"/>
      <c r="R7" s="52">
        <f>LEN(Q7)-LEN(SUBSTITUTE(Q7,",",""))</f>
        <v>0</v>
      </c>
      <c r="S7" s="53"/>
      <c r="T7" s="52">
        <f>LEN(S7)-LEN(SUBSTITUTE(S7,",",""))</f>
        <v>0</v>
      </c>
      <c r="U7" s="49"/>
      <c r="V7" s="52">
        <f>LEN(U7)-LEN(SUBSTITUTE(U7,",",""))</f>
        <v>0</v>
      </c>
      <c r="W7" s="49"/>
      <c r="X7" s="52">
        <f>LEN(W7)-LEN(SUBSTITUTE(W7,",",""))</f>
        <v>0</v>
      </c>
      <c r="Y7" s="49"/>
      <c r="Z7" s="52">
        <f>LEN(Y7)-LEN(SUBSTITUTE(Y7,",",""))</f>
        <v>0</v>
      </c>
      <c r="AA7" s="49"/>
      <c r="AB7" s="52">
        <f>LEN(AA7)-LEN(SUBSTITUTE(AA7,",",""))</f>
        <v>0</v>
      </c>
      <c r="AC7" s="54">
        <f t="shared" ref="AC7:AC29" si="3">SUM(J7,L7,N7,T7,V7,P7,R7,X7,Z7,AB7)</f>
        <v>0</v>
      </c>
      <c r="AD7" s="55">
        <v>5</v>
      </c>
      <c r="AE7" s="56"/>
      <c r="AF7" s="44"/>
      <c r="AG7" s="44"/>
      <c r="AH7" s="44"/>
      <c r="AI7" s="45">
        <f>SUM(AD7:AH7)</f>
        <v>5</v>
      </c>
      <c r="AJ7" s="57">
        <f>H7-AC7-AI7</f>
        <v>0</v>
      </c>
      <c r="AK7" s="49"/>
      <c r="AL7" s="48">
        <f>LEN(AK7)-LEN(SUBSTITUTE(AK7,",",""))</f>
        <v>0</v>
      </c>
      <c r="AM7" s="49"/>
      <c r="AN7" s="48">
        <f>LEN(AM7)-LEN(SUBSTITUTE(AM7,",",""))</f>
        <v>0</v>
      </c>
      <c r="AO7" s="49"/>
      <c r="AP7" s="48">
        <f>LEN(AO7)-LEN(SUBSTITUTE(AO7,",",""))</f>
        <v>0</v>
      </c>
      <c r="AQ7" s="58"/>
      <c r="AR7" s="50">
        <f>LEN(AQ7)-LEN(SUBSTITUTE(AQ7,",",""))</f>
        <v>0</v>
      </c>
      <c r="AS7" s="59"/>
      <c r="AT7" s="50">
        <f>LEN(AS7)-LEN(SUBSTITUTE(AS7,",",""))</f>
        <v>0</v>
      </c>
      <c r="AU7" s="51"/>
      <c r="AV7" s="52">
        <f>LEN(AU7)-LEN(SUBSTITUTE(AU7,",",""))</f>
        <v>0</v>
      </c>
      <c r="AW7" s="60"/>
      <c r="AX7" s="52">
        <f>LEN(AW7)-LEN(SUBSTITUTE(AW7,",",""))</f>
        <v>0</v>
      </c>
      <c r="AY7" s="60"/>
      <c r="AZ7" s="61">
        <f>LEN(AY7)-LEN(SUBSTITUTE(AY7,",",""))</f>
        <v>0</v>
      </c>
      <c r="BA7" s="62">
        <f t="shared" ref="BA7:BA26" si="4">SUM(AL7,AT7,AV7,AX7,AZ7,AN7,AP7,AR7)</f>
        <v>0</v>
      </c>
      <c r="BB7" s="63">
        <f>H7-AC7+BA7</f>
        <v>5</v>
      </c>
      <c r="BC7" s="64"/>
      <c r="BD7" s="65">
        <f t="shared" ref="BD7:BD29" si="5">BB7+BC7-AI7</f>
        <v>0</v>
      </c>
      <c r="BE7" s="33"/>
    </row>
    <row r="8" spans="1:57" s="1" customFormat="1" ht="81.75" customHeight="1" x14ac:dyDescent="0.15">
      <c r="A8" s="14">
        <v>2</v>
      </c>
      <c r="B8" s="52" t="s">
        <v>33</v>
      </c>
      <c r="C8" s="66">
        <v>6</v>
      </c>
      <c r="D8" s="67">
        <v>1</v>
      </c>
      <c r="E8" s="68">
        <v>1</v>
      </c>
      <c r="F8" s="69"/>
      <c r="G8" s="70">
        <f>SUM(C8:F8)</f>
        <v>8</v>
      </c>
      <c r="H8" s="71">
        <v>8</v>
      </c>
      <c r="I8" s="72"/>
      <c r="J8" s="52">
        <f t="shared" ref="J8:J28" si="6">LEN(I8)-LEN(SUBSTITUTE(I8,",",""))</f>
        <v>0</v>
      </c>
      <c r="K8" s="53"/>
      <c r="L8" s="73">
        <f t="shared" ref="L8:L28" si="7">LEN(K8)-LEN(SUBSTITUTE(K8,",",""))</f>
        <v>0</v>
      </c>
      <c r="M8" s="53"/>
      <c r="N8" s="74">
        <f t="shared" ref="N8:N29" si="8">LEN(M8)-LEN(SUBSTITUTE(M8,",",""))</f>
        <v>0</v>
      </c>
      <c r="O8" s="53"/>
      <c r="P8" s="73">
        <f t="shared" ref="P8:P29" si="9">LEN(O8)-LEN(SUBSTITUTE(O8,",",""))</f>
        <v>0</v>
      </c>
      <c r="Q8" s="53"/>
      <c r="R8" s="52">
        <f t="shared" ref="R8:R29" si="10">LEN(Q8)-LEN(SUBSTITUTE(Q8,",",""))</f>
        <v>0</v>
      </c>
      <c r="S8" s="53"/>
      <c r="T8" s="52">
        <f t="shared" ref="T8:T28" si="11">LEN(S8)-LEN(SUBSTITUTE(S8,",",""))</f>
        <v>0</v>
      </c>
      <c r="U8" s="53"/>
      <c r="V8" s="52">
        <f t="shared" ref="V8:V29" si="12">LEN(U8)-LEN(SUBSTITUTE(U8,",",""))</f>
        <v>0</v>
      </c>
      <c r="W8" s="53"/>
      <c r="X8" s="52">
        <f t="shared" ref="X8:X29" si="13">LEN(W8)-LEN(SUBSTITUTE(W8,",",""))</f>
        <v>0</v>
      </c>
      <c r="Y8" s="75"/>
      <c r="Z8" s="52">
        <f t="shared" ref="Z8:Z29" si="14">LEN(Y8)-LEN(SUBSTITUTE(Y8,",",""))</f>
        <v>0</v>
      </c>
      <c r="AA8" s="53"/>
      <c r="AB8" s="52">
        <f t="shared" ref="AB8:AB28" si="15">LEN(AA8)-LEN(SUBSTITUTE(AA8,",",""))</f>
        <v>0</v>
      </c>
      <c r="AC8" s="76">
        <f t="shared" si="3"/>
        <v>0</v>
      </c>
      <c r="AD8" s="77">
        <v>6</v>
      </c>
      <c r="AE8" s="78">
        <v>1</v>
      </c>
      <c r="AF8" s="69">
        <v>1</v>
      </c>
      <c r="AG8" s="69"/>
      <c r="AH8" s="69"/>
      <c r="AI8" s="70">
        <f>SUM(AD8:AH8)</f>
        <v>8</v>
      </c>
      <c r="AJ8" s="79">
        <f t="shared" ref="AJ8:AJ26" si="16">H8-AC8-AI8</f>
        <v>0</v>
      </c>
      <c r="AK8" s="53"/>
      <c r="AL8" s="52">
        <f t="shared" ref="AL8:AL29" si="17">LEN(AK8)-LEN(SUBSTITUTE(AK8,",",""))</f>
        <v>0</v>
      </c>
      <c r="AM8" s="53"/>
      <c r="AN8" s="52">
        <f t="shared" ref="AN8:AN29" si="18">LEN(AM8)-LEN(SUBSTITUTE(AM8,",",""))</f>
        <v>0</v>
      </c>
      <c r="AO8" s="53"/>
      <c r="AP8" s="52">
        <f t="shared" ref="AP8:AP29" si="19">LEN(AO8)-LEN(SUBSTITUTE(AO8,",",""))</f>
        <v>0</v>
      </c>
      <c r="AQ8" s="53"/>
      <c r="AR8" s="73">
        <f t="shared" ref="AR8:AR28" si="20">LEN(AQ8)-LEN(SUBSTITUTE(AQ8,",",""))</f>
        <v>0</v>
      </c>
      <c r="AS8" s="80"/>
      <c r="AT8" s="73">
        <f t="shared" ref="AT8:AT29" si="21">LEN(AS8)-LEN(SUBSTITUTE(AS8,",",""))</f>
        <v>0</v>
      </c>
      <c r="AU8" s="53"/>
      <c r="AV8" s="52">
        <f t="shared" ref="AV8:AV29" si="22">LEN(AU8)-LEN(SUBSTITUTE(AU8,",",""))</f>
        <v>0</v>
      </c>
      <c r="AW8" s="53"/>
      <c r="AX8" s="52">
        <f t="shared" ref="AX8:AX29" si="23">LEN(AW8)-LEN(SUBSTITUTE(AW8,",",""))</f>
        <v>0</v>
      </c>
      <c r="AY8" s="53"/>
      <c r="AZ8" s="81">
        <f>LEN(AY8)-LEN(SUBSTITUTE(AY8,",",""))</f>
        <v>0</v>
      </c>
      <c r="BA8" s="82">
        <f t="shared" si="4"/>
        <v>0</v>
      </c>
      <c r="BB8" s="83">
        <f t="shared" ref="BB8:BB26" si="24">H8-AC8+BA8</f>
        <v>8</v>
      </c>
      <c r="BC8" s="84"/>
      <c r="BD8" s="65">
        <f t="shared" si="5"/>
        <v>0</v>
      </c>
      <c r="BE8" s="13"/>
    </row>
    <row r="9" spans="1:57" s="1" customFormat="1" ht="69.75" customHeight="1" x14ac:dyDescent="0.15">
      <c r="A9" s="14">
        <v>3</v>
      </c>
      <c r="B9" s="85" t="s">
        <v>34</v>
      </c>
      <c r="C9" s="77">
        <v>6</v>
      </c>
      <c r="D9" s="78">
        <v>1</v>
      </c>
      <c r="E9" s="69"/>
      <c r="F9" s="69"/>
      <c r="G9" s="70">
        <f t="shared" ref="G9:G29" si="25">SUM(C9:F9)</f>
        <v>7</v>
      </c>
      <c r="H9" s="71">
        <v>7</v>
      </c>
      <c r="I9" s="86"/>
      <c r="J9" s="87">
        <f t="shared" si="6"/>
        <v>0</v>
      </c>
      <c r="K9" s="88"/>
      <c r="L9" s="52">
        <f t="shared" si="7"/>
        <v>0</v>
      </c>
      <c r="M9" s="89"/>
      <c r="N9" s="52">
        <f t="shared" si="8"/>
        <v>0</v>
      </c>
      <c r="O9" s="88"/>
      <c r="P9" s="52">
        <f t="shared" si="9"/>
        <v>0</v>
      </c>
      <c r="Q9" s="88"/>
      <c r="R9" s="52">
        <f t="shared" si="10"/>
        <v>0</v>
      </c>
      <c r="S9" s="53"/>
      <c r="T9" s="52">
        <f t="shared" si="11"/>
        <v>0</v>
      </c>
      <c r="U9" s="53"/>
      <c r="V9" s="52">
        <f t="shared" si="12"/>
        <v>0</v>
      </c>
      <c r="W9" s="53"/>
      <c r="X9" s="52">
        <f t="shared" si="13"/>
        <v>0</v>
      </c>
      <c r="Y9" s="53"/>
      <c r="Z9" s="52">
        <f t="shared" si="14"/>
        <v>0</v>
      </c>
      <c r="AA9" s="88"/>
      <c r="AB9" s="52">
        <f t="shared" si="15"/>
        <v>0</v>
      </c>
      <c r="AC9" s="76">
        <f t="shared" si="3"/>
        <v>0</v>
      </c>
      <c r="AD9" s="77">
        <v>6</v>
      </c>
      <c r="AE9" s="78">
        <v>1</v>
      </c>
      <c r="AF9" s="69"/>
      <c r="AG9" s="69"/>
      <c r="AH9" s="69"/>
      <c r="AI9" s="70">
        <f t="shared" ref="AI9:AI29" si="26">SUM(AD9:AH9)</f>
        <v>7</v>
      </c>
      <c r="AJ9" s="90">
        <f>H9-AC9-AI9</f>
        <v>0</v>
      </c>
      <c r="AK9" s="91"/>
      <c r="AL9" s="52">
        <f t="shared" si="17"/>
        <v>0</v>
      </c>
      <c r="AM9" s="53"/>
      <c r="AN9" s="52">
        <f t="shared" si="18"/>
        <v>0</v>
      </c>
      <c r="AO9" s="53"/>
      <c r="AP9" s="52">
        <f t="shared" si="19"/>
        <v>0</v>
      </c>
      <c r="AQ9" s="53"/>
      <c r="AR9" s="73">
        <f t="shared" si="20"/>
        <v>0</v>
      </c>
      <c r="AS9" s="80"/>
      <c r="AT9" s="73">
        <f t="shared" si="21"/>
        <v>0</v>
      </c>
      <c r="AU9" s="53"/>
      <c r="AV9" s="52">
        <f t="shared" si="22"/>
        <v>0</v>
      </c>
      <c r="AW9" s="53"/>
      <c r="AX9" s="52">
        <f t="shared" si="23"/>
        <v>0</v>
      </c>
      <c r="AY9" s="53"/>
      <c r="AZ9" s="92">
        <f t="shared" ref="AZ9:AZ29" si="27">LEN(AY9)-LEN(SUBSTITUTE(AY9,",",""))</f>
        <v>0</v>
      </c>
      <c r="BA9" s="82">
        <f t="shared" si="4"/>
        <v>0</v>
      </c>
      <c r="BB9" s="83">
        <f t="shared" si="24"/>
        <v>7</v>
      </c>
      <c r="BC9" s="84"/>
      <c r="BD9" s="65">
        <f t="shared" si="5"/>
        <v>0</v>
      </c>
      <c r="BE9" s="13"/>
    </row>
    <row r="10" spans="1:57" s="1" customFormat="1" ht="152.25" customHeight="1" x14ac:dyDescent="0.15">
      <c r="A10" s="14">
        <v>4</v>
      </c>
      <c r="B10" s="85" t="s">
        <v>37</v>
      </c>
      <c r="C10" s="77">
        <v>9</v>
      </c>
      <c r="D10" s="78">
        <v>2</v>
      </c>
      <c r="E10" s="69"/>
      <c r="F10" s="69"/>
      <c r="G10" s="70">
        <f t="shared" si="25"/>
        <v>11</v>
      </c>
      <c r="H10" s="253">
        <v>12</v>
      </c>
      <c r="I10" s="72"/>
      <c r="J10" s="73">
        <f t="shared" si="6"/>
        <v>0</v>
      </c>
      <c r="K10" s="88"/>
      <c r="L10" s="87">
        <f t="shared" si="7"/>
        <v>0</v>
      </c>
      <c r="M10" s="89"/>
      <c r="N10" s="73">
        <f t="shared" si="8"/>
        <v>0</v>
      </c>
      <c r="O10" s="93"/>
      <c r="P10" s="73">
        <f t="shared" si="9"/>
        <v>0</v>
      </c>
      <c r="Q10" s="88"/>
      <c r="R10" s="52">
        <f t="shared" si="10"/>
        <v>0</v>
      </c>
      <c r="S10" s="53"/>
      <c r="T10" s="52">
        <f t="shared" si="11"/>
        <v>0</v>
      </c>
      <c r="U10" s="53"/>
      <c r="V10" s="52">
        <f t="shared" si="12"/>
        <v>0</v>
      </c>
      <c r="W10" s="53"/>
      <c r="X10" s="52">
        <f t="shared" si="13"/>
        <v>0</v>
      </c>
      <c r="Y10" s="53"/>
      <c r="Z10" s="52">
        <f t="shared" si="14"/>
        <v>0</v>
      </c>
      <c r="AA10" s="53"/>
      <c r="AB10" s="52">
        <f t="shared" si="15"/>
        <v>0</v>
      </c>
      <c r="AC10" s="76">
        <f t="shared" si="3"/>
        <v>0</v>
      </c>
      <c r="AD10" s="77">
        <v>9</v>
      </c>
      <c r="AE10" s="78">
        <v>2</v>
      </c>
      <c r="AF10" s="68"/>
      <c r="AG10" s="68"/>
      <c r="AH10" s="69"/>
      <c r="AI10" s="70">
        <f t="shared" si="26"/>
        <v>11</v>
      </c>
      <c r="AJ10" s="71">
        <f t="shared" si="16"/>
        <v>1</v>
      </c>
      <c r="AK10" s="93"/>
      <c r="AL10" s="52">
        <f t="shared" si="17"/>
        <v>0</v>
      </c>
      <c r="AM10" s="53"/>
      <c r="AN10" s="52">
        <f t="shared" si="18"/>
        <v>0</v>
      </c>
      <c r="AO10" s="53"/>
      <c r="AP10" s="52">
        <f t="shared" si="19"/>
        <v>0</v>
      </c>
      <c r="AQ10" s="53"/>
      <c r="AR10" s="73">
        <f t="shared" si="20"/>
        <v>0</v>
      </c>
      <c r="AS10" s="80"/>
      <c r="AT10" s="73">
        <f t="shared" si="21"/>
        <v>0</v>
      </c>
      <c r="AU10" s="53"/>
      <c r="AV10" s="52">
        <f t="shared" si="22"/>
        <v>0</v>
      </c>
      <c r="AW10" s="53"/>
      <c r="AX10" s="52">
        <f t="shared" si="23"/>
        <v>0</v>
      </c>
      <c r="AY10" s="53"/>
      <c r="AZ10" s="92">
        <f t="shared" si="27"/>
        <v>0</v>
      </c>
      <c r="BA10" s="82">
        <f t="shared" si="4"/>
        <v>0</v>
      </c>
      <c r="BB10" s="83">
        <f t="shared" si="24"/>
        <v>12</v>
      </c>
      <c r="BC10" s="84"/>
      <c r="BD10" s="65">
        <f t="shared" si="5"/>
        <v>1</v>
      </c>
      <c r="BE10" s="165"/>
    </row>
    <row r="11" spans="1:57" s="1" customFormat="1" ht="262.5" customHeight="1" x14ac:dyDescent="0.15">
      <c r="A11" s="14">
        <v>5</v>
      </c>
      <c r="B11" s="85" t="s">
        <v>39</v>
      </c>
      <c r="C11" s="77">
        <v>31</v>
      </c>
      <c r="D11" s="78">
        <v>6</v>
      </c>
      <c r="E11" s="69">
        <v>1</v>
      </c>
      <c r="F11" s="68"/>
      <c r="G11" s="70">
        <f t="shared" si="25"/>
        <v>38</v>
      </c>
      <c r="H11" s="71">
        <v>38</v>
      </c>
      <c r="I11" s="72"/>
      <c r="J11" s="52">
        <f t="shared" si="6"/>
        <v>0</v>
      </c>
      <c r="K11" s="53"/>
      <c r="L11" s="52">
        <f t="shared" si="7"/>
        <v>0</v>
      </c>
      <c r="M11" s="89"/>
      <c r="N11" s="52">
        <f t="shared" si="8"/>
        <v>0</v>
      </c>
      <c r="O11" s="53"/>
      <c r="P11" s="52">
        <f t="shared" si="9"/>
        <v>0</v>
      </c>
      <c r="Q11" s="88"/>
      <c r="R11" s="52">
        <f t="shared" si="10"/>
        <v>0</v>
      </c>
      <c r="S11" s="53"/>
      <c r="T11" s="52">
        <f t="shared" si="11"/>
        <v>0</v>
      </c>
      <c r="U11" s="53"/>
      <c r="V11" s="52">
        <f t="shared" si="12"/>
        <v>0</v>
      </c>
      <c r="W11" s="53"/>
      <c r="X11" s="52">
        <f t="shared" si="13"/>
        <v>0</v>
      </c>
      <c r="Y11" s="53"/>
      <c r="Z11" s="52">
        <f t="shared" si="14"/>
        <v>0</v>
      </c>
      <c r="AA11" s="93"/>
      <c r="AB11" s="52">
        <f>LEN(AA11)-LEN(SUBSTITUTE(AA11,",",""))</f>
        <v>0</v>
      </c>
      <c r="AC11" s="76">
        <f t="shared" si="3"/>
        <v>0</v>
      </c>
      <c r="AD11" s="77">
        <v>31</v>
      </c>
      <c r="AE11" s="78">
        <v>6</v>
      </c>
      <c r="AF11" s="69">
        <v>1</v>
      </c>
      <c r="AG11" s="68"/>
      <c r="AH11" s="68">
        <v>0</v>
      </c>
      <c r="AI11" s="70">
        <f t="shared" si="26"/>
        <v>38</v>
      </c>
      <c r="AJ11" s="71">
        <f t="shared" si="16"/>
        <v>0</v>
      </c>
      <c r="AK11" s="94"/>
      <c r="AL11" s="52">
        <f t="shared" si="17"/>
        <v>0</v>
      </c>
      <c r="AM11" s="53"/>
      <c r="AN11" s="52">
        <f t="shared" si="18"/>
        <v>0</v>
      </c>
      <c r="AO11" s="53"/>
      <c r="AP11" s="52">
        <f t="shared" si="19"/>
        <v>0</v>
      </c>
      <c r="AQ11" s="95"/>
      <c r="AR11" s="73">
        <f t="shared" si="20"/>
        <v>0</v>
      </c>
      <c r="AS11" s="80"/>
      <c r="AT11" s="73">
        <f t="shared" si="21"/>
        <v>0</v>
      </c>
      <c r="AU11" s="53"/>
      <c r="AV11" s="52">
        <f t="shared" si="22"/>
        <v>0</v>
      </c>
      <c r="AW11" s="53"/>
      <c r="AX11" s="52">
        <f t="shared" si="23"/>
        <v>0</v>
      </c>
      <c r="AY11" s="53"/>
      <c r="AZ11" s="92">
        <f t="shared" si="27"/>
        <v>0</v>
      </c>
      <c r="BA11" s="82">
        <f t="shared" si="4"/>
        <v>0</v>
      </c>
      <c r="BB11" s="83">
        <f t="shared" si="24"/>
        <v>38</v>
      </c>
      <c r="BC11" s="84"/>
      <c r="BD11" s="65">
        <f t="shared" si="5"/>
        <v>0</v>
      </c>
      <c r="BE11" s="166"/>
    </row>
    <row r="12" spans="1:57" s="1" customFormat="1" ht="67.5" customHeight="1" x14ac:dyDescent="0.15">
      <c r="A12" s="14">
        <v>6</v>
      </c>
      <c r="B12" s="85" t="s">
        <v>40</v>
      </c>
      <c r="C12" s="77">
        <v>6</v>
      </c>
      <c r="D12" s="78">
        <v>1</v>
      </c>
      <c r="E12" s="69"/>
      <c r="F12" s="68"/>
      <c r="G12" s="70">
        <f t="shared" si="25"/>
        <v>7</v>
      </c>
      <c r="H12" s="71">
        <v>7</v>
      </c>
      <c r="I12" s="86"/>
      <c r="J12" s="52">
        <f t="shared" si="6"/>
        <v>0</v>
      </c>
      <c r="K12" s="53"/>
      <c r="L12" s="73">
        <f t="shared" si="7"/>
        <v>0</v>
      </c>
      <c r="M12" s="89"/>
      <c r="N12" s="52">
        <f t="shared" si="8"/>
        <v>0</v>
      </c>
      <c r="O12" s="96"/>
      <c r="P12" s="87">
        <f t="shared" si="9"/>
        <v>0</v>
      </c>
      <c r="Q12" s="88"/>
      <c r="R12" s="52">
        <f t="shared" si="10"/>
        <v>0</v>
      </c>
      <c r="S12" s="53"/>
      <c r="T12" s="52">
        <f t="shared" si="11"/>
        <v>0</v>
      </c>
      <c r="U12" s="53"/>
      <c r="V12" s="52">
        <f t="shared" si="12"/>
        <v>0</v>
      </c>
      <c r="W12" s="53"/>
      <c r="X12" s="52">
        <f t="shared" si="13"/>
        <v>0</v>
      </c>
      <c r="Y12" s="53"/>
      <c r="Z12" s="52">
        <f t="shared" si="14"/>
        <v>0</v>
      </c>
      <c r="AA12" s="53"/>
      <c r="AB12" s="52">
        <f t="shared" si="15"/>
        <v>0</v>
      </c>
      <c r="AC12" s="76">
        <f t="shared" si="3"/>
        <v>0</v>
      </c>
      <c r="AD12" s="77">
        <v>6</v>
      </c>
      <c r="AE12" s="78">
        <v>1</v>
      </c>
      <c r="AF12" s="68"/>
      <c r="AG12" s="68"/>
      <c r="AH12" s="68"/>
      <c r="AI12" s="70">
        <f t="shared" si="26"/>
        <v>7</v>
      </c>
      <c r="AJ12" s="79">
        <f t="shared" si="16"/>
        <v>0</v>
      </c>
      <c r="AK12" s="89"/>
      <c r="AL12" s="52">
        <f t="shared" si="17"/>
        <v>0</v>
      </c>
      <c r="AM12" s="53"/>
      <c r="AN12" s="52">
        <f t="shared" si="18"/>
        <v>0</v>
      </c>
      <c r="AO12" s="53"/>
      <c r="AP12" s="52">
        <f t="shared" si="19"/>
        <v>0</v>
      </c>
      <c r="AQ12" s="93"/>
      <c r="AR12" s="73">
        <f t="shared" si="20"/>
        <v>0</v>
      </c>
      <c r="AS12" s="97"/>
      <c r="AT12" s="73">
        <f t="shared" si="21"/>
        <v>0</v>
      </c>
      <c r="AU12" s="98"/>
      <c r="AV12" s="52">
        <f t="shared" si="22"/>
        <v>0</v>
      </c>
      <c r="AW12" s="96"/>
      <c r="AX12" s="52">
        <f t="shared" si="23"/>
        <v>0</v>
      </c>
      <c r="AY12" s="80"/>
      <c r="AZ12" s="92">
        <f t="shared" si="27"/>
        <v>0</v>
      </c>
      <c r="BA12" s="82">
        <f t="shared" si="4"/>
        <v>0</v>
      </c>
      <c r="BB12" s="83">
        <f t="shared" si="24"/>
        <v>7</v>
      </c>
      <c r="BC12" s="84"/>
      <c r="BD12" s="65">
        <f t="shared" si="5"/>
        <v>0</v>
      </c>
      <c r="BE12" s="167"/>
    </row>
    <row r="13" spans="1:57" s="1" customFormat="1" ht="216" customHeight="1" x14ac:dyDescent="0.15">
      <c r="A13" s="14">
        <v>7</v>
      </c>
      <c r="B13" s="85" t="s">
        <v>35</v>
      </c>
      <c r="C13" s="77">
        <v>33</v>
      </c>
      <c r="D13" s="78">
        <v>7</v>
      </c>
      <c r="E13" s="69">
        <v>1</v>
      </c>
      <c r="F13" s="68">
        <v>1</v>
      </c>
      <c r="G13" s="70">
        <f t="shared" si="25"/>
        <v>42</v>
      </c>
      <c r="H13" s="71">
        <v>42</v>
      </c>
      <c r="I13" s="72"/>
      <c r="J13" s="52">
        <f t="shared" si="6"/>
        <v>0</v>
      </c>
      <c r="K13" s="53"/>
      <c r="L13" s="73">
        <f t="shared" si="7"/>
        <v>0</v>
      </c>
      <c r="M13" s="89"/>
      <c r="N13" s="52">
        <f t="shared" si="8"/>
        <v>0</v>
      </c>
      <c r="O13" s="53"/>
      <c r="P13" s="52">
        <f t="shared" si="9"/>
        <v>0</v>
      </c>
      <c r="Q13" s="53"/>
      <c r="R13" s="52">
        <f t="shared" si="10"/>
        <v>0</v>
      </c>
      <c r="S13" s="53"/>
      <c r="T13" s="52">
        <f t="shared" si="11"/>
        <v>0</v>
      </c>
      <c r="U13" s="53"/>
      <c r="V13" s="52">
        <f t="shared" si="12"/>
        <v>0</v>
      </c>
      <c r="W13" s="53"/>
      <c r="X13" s="52">
        <f t="shared" si="13"/>
        <v>0</v>
      </c>
      <c r="Y13" s="93"/>
      <c r="Z13" s="52">
        <f t="shared" si="14"/>
        <v>0</v>
      </c>
      <c r="AA13" s="99"/>
      <c r="AB13" s="52">
        <f>LEN(AA13)-LEN(SUBSTITUTE(AA13,",",""))</f>
        <v>0</v>
      </c>
      <c r="AC13" s="76">
        <f t="shared" si="3"/>
        <v>0</v>
      </c>
      <c r="AD13" s="77">
        <v>33</v>
      </c>
      <c r="AE13" s="78">
        <v>7</v>
      </c>
      <c r="AF13" s="69">
        <v>1</v>
      </c>
      <c r="AG13" s="68">
        <v>1</v>
      </c>
      <c r="AH13" s="68">
        <v>1</v>
      </c>
      <c r="AI13" s="70">
        <f t="shared" si="26"/>
        <v>43</v>
      </c>
      <c r="AJ13" s="100">
        <f t="shared" si="16"/>
        <v>-1</v>
      </c>
      <c r="AK13" s="89"/>
      <c r="AL13" s="52">
        <f t="shared" si="17"/>
        <v>0</v>
      </c>
      <c r="AM13" s="53"/>
      <c r="AN13" s="52">
        <f t="shared" si="18"/>
        <v>0</v>
      </c>
      <c r="AO13" s="53"/>
      <c r="AP13" s="52">
        <f t="shared" si="19"/>
        <v>0</v>
      </c>
      <c r="AQ13" s="96"/>
      <c r="AR13" s="73">
        <f t="shared" si="20"/>
        <v>0</v>
      </c>
      <c r="AS13" s="80"/>
      <c r="AT13" s="73">
        <f t="shared" si="21"/>
        <v>0</v>
      </c>
      <c r="AU13" s="89"/>
      <c r="AV13" s="52">
        <f t="shared" si="22"/>
        <v>0</v>
      </c>
      <c r="AW13" s="53"/>
      <c r="AX13" s="52">
        <f t="shared" si="23"/>
        <v>0</v>
      </c>
      <c r="AY13" s="108"/>
      <c r="AZ13" s="92">
        <f t="shared" si="27"/>
        <v>0</v>
      </c>
      <c r="BA13" s="82">
        <f t="shared" si="4"/>
        <v>0</v>
      </c>
      <c r="BB13" s="83">
        <f t="shared" si="24"/>
        <v>42</v>
      </c>
      <c r="BC13" s="84"/>
      <c r="BD13" s="65">
        <f t="shared" si="5"/>
        <v>-1</v>
      </c>
      <c r="BE13" s="166"/>
    </row>
    <row r="14" spans="1:57" s="1" customFormat="1" ht="62.25" customHeight="1" x14ac:dyDescent="0.15">
      <c r="A14" s="14">
        <v>8</v>
      </c>
      <c r="B14" s="85" t="s">
        <v>43</v>
      </c>
      <c r="C14" s="77">
        <v>5</v>
      </c>
      <c r="D14" s="78"/>
      <c r="E14" s="69"/>
      <c r="F14" s="69"/>
      <c r="G14" s="70">
        <f t="shared" si="25"/>
        <v>5</v>
      </c>
      <c r="H14" s="71">
        <v>7</v>
      </c>
      <c r="I14" s="72"/>
      <c r="J14" s="87">
        <f t="shared" si="6"/>
        <v>0</v>
      </c>
      <c r="K14" s="53"/>
      <c r="L14" s="52">
        <f t="shared" si="7"/>
        <v>0</v>
      </c>
      <c r="M14" s="89"/>
      <c r="N14" s="74">
        <f t="shared" si="8"/>
        <v>0</v>
      </c>
      <c r="O14" s="53"/>
      <c r="P14" s="87">
        <f t="shared" si="9"/>
        <v>0</v>
      </c>
      <c r="Q14" s="88"/>
      <c r="R14" s="52">
        <f t="shared" si="10"/>
        <v>0</v>
      </c>
      <c r="S14" s="53"/>
      <c r="T14" s="52">
        <f t="shared" si="11"/>
        <v>0</v>
      </c>
      <c r="U14" s="53"/>
      <c r="V14" s="52">
        <f t="shared" si="12"/>
        <v>0</v>
      </c>
      <c r="W14" s="53"/>
      <c r="X14" s="52">
        <f t="shared" si="13"/>
        <v>0</v>
      </c>
      <c r="Y14" s="102"/>
      <c r="Z14" s="52">
        <f t="shared" si="14"/>
        <v>0</v>
      </c>
      <c r="AA14" s="88"/>
      <c r="AB14" s="52">
        <f t="shared" si="15"/>
        <v>0</v>
      </c>
      <c r="AC14" s="76">
        <f t="shared" si="3"/>
        <v>0</v>
      </c>
      <c r="AD14" s="77">
        <v>5</v>
      </c>
      <c r="AE14" s="78"/>
      <c r="AF14" s="69"/>
      <c r="AG14" s="68"/>
      <c r="AH14" s="68"/>
      <c r="AI14" s="70">
        <f t="shared" si="26"/>
        <v>5</v>
      </c>
      <c r="AJ14" s="71">
        <f t="shared" si="16"/>
        <v>2</v>
      </c>
      <c r="AK14" s="53"/>
      <c r="AL14" s="52">
        <f t="shared" si="17"/>
        <v>0</v>
      </c>
      <c r="AM14" s="53"/>
      <c r="AN14" s="52">
        <f t="shared" si="18"/>
        <v>0</v>
      </c>
      <c r="AO14" s="88"/>
      <c r="AP14" s="52">
        <f t="shared" si="19"/>
        <v>0</v>
      </c>
      <c r="AQ14" s="180"/>
      <c r="AR14" s="73">
        <f t="shared" si="20"/>
        <v>0</v>
      </c>
      <c r="AS14" s="106"/>
      <c r="AT14" s="73">
        <f t="shared" si="21"/>
        <v>0</v>
      </c>
      <c r="AU14" s="89"/>
      <c r="AV14" s="52">
        <f t="shared" si="22"/>
        <v>0</v>
      </c>
      <c r="AW14" s="53"/>
      <c r="AX14" s="52">
        <f t="shared" si="23"/>
        <v>0</v>
      </c>
      <c r="AY14" s="101"/>
      <c r="AZ14" s="52">
        <f t="shared" si="27"/>
        <v>0</v>
      </c>
      <c r="BA14" s="174">
        <f t="shared" si="4"/>
        <v>0</v>
      </c>
      <c r="BB14" s="175">
        <f t="shared" si="24"/>
        <v>7</v>
      </c>
      <c r="BC14" s="103"/>
      <c r="BD14" s="104">
        <f t="shared" si="5"/>
        <v>2</v>
      </c>
      <c r="BE14" s="168"/>
    </row>
    <row r="15" spans="1:57" s="1" customFormat="1" ht="57.75" customHeight="1" x14ac:dyDescent="0.15">
      <c r="A15" s="14">
        <v>9</v>
      </c>
      <c r="B15" s="85" t="s">
        <v>44</v>
      </c>
      <c r="C15" s="77">
        <v>6</v>
      </c>
      <c r="D15" s="78">
        <v>1</v>
      </c>
      <c r="E15" s="69"/>
      <c r="F15" s="69"/>
      <c r="G15" s="70">
        <f t="shared" si="25"/>
        <v>7</v>
      </c>
      <c r="H15" s="71">
        <v>7</v>
      </c>
      <c r="I15" s="72"/>
      <c r="J15" s="52">
        <f t="shared" si="6"/>
        <v>0</v>
      </c>
      <c r="K15" s="53"/>
      <c r="L15" s="87">
        <f t="shared" si="7"/>
        <v>0</v>
      </c>
      <c r="M15" s="89"/>
      <c r="N15" s="52">
        <f t="shared" si="8"/>
        <v>0</v>
      </c>
      <c r="O15" s="53"/>
      <c r="P15" s="52">
        <f t="shared" si="9"/>
        <v>0</v>
      </c>
      <c r="Q15" s="88"/>
      <c r="R15" s="52">
        <f t="shared" si="10"/>
        <v>0</v>
      </c>
      <c r="S15" s="53"/>
      <c r="T15" s="52">
        <f t="shared" si="11"/>
        <v>0</v>
      </c>
      <c r="U15" s="53"/>
      <c r="V15" s="52">
        <f t="shared" si="12"/>
        <v>0</v>
      </c>
      <c r="W15" s="53"/>
      <c r="X15" s="52">
        <f t="shared" si="13"/>
        <v>0</v>
      </c>
      <c r="Y15" s="53"/>
      <c r="Z15" s="52">
        <f t="shared" si="14"/>
        <v>0</v>
      </c>
      <c r="AA15" s="53"/>
      <c r="AB15" s="52">
        <f t="shared" si="15"/>
        <v>0</v>
      </c>
      <c r="AC15" s="76">
        <f t="shared" si="3"/>
        <v>0</v>
      </c>
      <c r="AD15" s="77">
        <v>6</v>
      </c>
      <c r="AE15" s="78">
        <v>1</v>
      </c>
      <c r="AF15" s="68"/>
      <c r="AG15" s="68"/>
      <c r="AH15" s="68"/>
      <c r="AI15" s="70">
        <f t="shared" si="26"/>
        <v>7</v>
      </c>
      <c r="AJ15" s="71">
        <f t="shared" si="16"/>
        <v>0</v>
      </c>
      <c r="AK15" s="53"/>
      <c r="AL15" s="52">
        <f t="shared" si="17"/>
        <v>0</v>
      </c>
      <c r="AM15" s="53"/>
      <c r="AN15" s="52">
        <f t="shared" si="18"/>
        <v>0</v>
      </c>
      <c r="AO15" s="53"/>
      <c r="AP15" s="52">
        <f t="shared" si="19"/>
        <v>0</v>
      </c>
      <c r="AQ15" s="53"/>
      <c r="AR15" s="73">
        <f t="shared" si="20"/>
        <v>0</v>
      </c>
      <c r="AS15" s="80"/>
      <c r="AT15" s="73">
        <f t="shared" si="21"/>
        <v>0</v>
      </c>
      <c r="AU15" s="89"/>
      <c r="AV15" s="52">
        <f t="shared" si="22"/>
        <v>0</v>
      </c>
      <c r="AW15" s="53"/>
      <c r="AX15" s="52">
        <f t="shared" si="23"/>
        <v>0</v>
      </c>
      <c r="AY15" s="105"/>
      <c r="AZ15" s="52">
        <f t="shared" si="27"/>
        <v>0</v>
      </c>
      <c r="BA15" s="82">
        <f t="shared" si="4"/>
        <v>0</v>
      </c>
      <c r="BB15" s="83">
        <f t="shared" si="24"/>
        <v>7</v>
      </c>
      <c r="BC15" s="84"/>
      <c r="BD15" s="65">
        <f t="shared" si="5"/>
        <v>0</v>
      </c>
      <c r="BE15" s="167"/>
    </row>
    <row r="16" spans="1:57" s="1" customFormat="1" ht="55.5" customHeight="1" x14ac:dyDescent="0.15">
      <c r="A16" s="14">
        <v>10</v>
      </c>
      <c r="B16" s="85" t="s">
        <v>45</v>
      </c>
      <c r="C16" s="77">
        <v>6</v>
      </c>
      <c r="D16" s="78">
        <v>1</v>
      </c>
      <c r="E16" s="69"/>
      <c r="F16" s="69"/>
      <c r="G16" s="70">
        <f t="shared" si="25"/>
        <v>7</v>
      </c>
      <c r="H16" s="71">
        <v>7</v>
      </c>
      <c r="I16" s="72"/>
      <c r="J16" s="52">
        <f t="shared" si="6"/>
        <v>0</v>
      </c>
      <c r="K16" s="53"/>
      <c r="L16" s="52">
        <f t="shared" si="7"/>
        <v>0</v>
      </c>
      <c r="M16" s="89"/>
      <c r="N16" s="52">
        <f t="shared" si="8"/>
        <v>0</v>
      </c>
      <c r="O16" s="53"/>
      <c r="P16" s="52">
        <f t="shared" si="9"/>
        <v>0</v>
      </c>
      <c r="Q16" s="109"/>
      <c r="R16" s="52">
        <f t="shared" si="10"/>
        <v>0</v>
      </c>
      <c r="S16" s="53"/>
      <c r="T16" s="52">
        <f t="shared" si="11"/>
        <v>0</v>
      </c>
      <c r="U16" s="53"/>
      <c r="V16" s="52">
        <f t="shared" si="12"/>
        <v>0</v>
      </c>
      <c r="W16" s="53"/>
      <c r="X16" s="52">
        <f t="shared" si="13"/>
        <v>0</v>
      </c>
      <c r="Y16" s="53"/>
      <c r="Z16" s="52">
        <f t="shared" si="14"/>
        <v>0</v>
      </c>
      <c r="AA16" s="53"/>
      <c r="AB16" s="52">
        <f t="shared" si="15"/>
        <v>0</v>
      </c>
      <c r="AC16" s="76">
        <f t="shared" si="3"/>
        <v>0</v>
      </c>
      <c r="AD16" s="77">
        <v>6</v>
      </c>
      <c r="AE16" s="78">
        <v>1</v>
      </c>
      <c r="AF16" s="68"/>
      <c r="AG16" s="68"/>
      <c r="AH16" s="68"/>
      <c r="AI16" s="70">
        <f t="shared" si="26"/>
        <v>7</v>
      </c>
      <c r="AJ16" s="71">
        <f t="shared" si="16"/>
        <v>0</v>
      </c>
      <c r="AK16" s="53"/>
      <c r="AL16" s="52">
        <f t="shared" si="17"/>
        <v>0</v>
      </c>
      <c r="AM16" s="53"/>
      <c r="AN16" s="52">
        <f t="shared" si="18"/>
        <v>0</v>
      </c>
      <c r="AO16" s="53"/>
      <c r="AP16" s="52">
        <f t="shared" si="19"/>
        <v>0</v>
      </c>
      <c r="AQ16" s="53"/>
      <c r="AR16" s="73">
        <f t="shared" si="20"/>
        <v>0</v>
      </c>
      <c r="AS16" s="106"/>
      <c r="AT16" s="73">
        <f t="shared" si="21"/>
        <v>0</v>
      </c>
      <c r="AU16" s="89"/>
      <c r="AV16" s="52">
        <f t="shared" si="22"/>
        <v>0</v>
      </c>
      <c r="AW16" s="53"/>
      <c r="AX16" s="52">
        <f t="shared" si="23"/>
        <v>0</v>
      </c>
      <c r="AY16" s="53"/>
      <c r="AZ16" s="52">
        <f t="shared" si="27"/>
        <v>0</v>
      </c>
      <c r="BA16" s="82">
        <f t="shared" si="4"/>
        <v>0</v>
      </c>
      <c r="BB16" s="83">
        <f t="shared" si="24"/>
        <v>7</v>
      </c>
      <c r="BC16" s="84"/>
      <c r="BD16" s="65">
        <f t="shared" si="5"/>
        <v>0</v>
      </c>
      <c r="BE16" s="166"/>
    </row>
    <row r="17" spans="1:57" s="1" customFormat="1" ht="54.75" customHeight="1" x14ac:dyDescent="0.15">
      <c r="A17" s="14">
        <v>11</v>
      </c>
      <c r="B17" s="85" t="s">
        <v>46</v>
      </c>
      <c r="C17" s="77">
        <v>3</v>
      </c>
      <c r="D17" s="78"/>
      <c r="E17" s="69"/>
      <c r="F17" s="69"/>
      <c r="G17" s="70">
        <f t="shared" si="25"/>
        <v>3</v>
      </c>
      <c r="H17" s="71">
        <v>3</v>
      </c>
      <c r="I17" s="72"/>
      <c r="J17" s="52">
        <f t="shared" si="6"/>
        <v>0</v>
      </c>
      <c r="K17" s="53"/>
      <c r="L17" s="73">
        <f t="shared" si="7"/>
        <v>0</v>
      </c>
      <c r="M17" s="89"/>
      <c r="N17" s="73">
        <f t="shared" si="8"/>
        <v>0</v>
      </c>
      <c r="O17" s="53"/>
      <c r="P17" s="73">
        <f t="shared" si="9"/>
        <v>0</v>
      </c>
      <c r="Q17" s="53"/>
      <c r="R17" s="52">
        <f t="shared" si="10"/>
        <v>0</v>
      </c>
      <c r="S17" s="107"/>
      <c r="T17" s="52">
        <f t="shared" si="11"/>
        <v>0</v>
      </c>
      <c r="U17" s="107"/>
      <c r="V17" s="52">
        <f t="shared" si="12"/>
        <v>0</v>
      </c>
      <c r="W17" s="107"/>
      <c r="X17" s="52">
        <f t="shared" si="13"/>
        <v>0</v>
      </c>
      <c r="Y17" s="107"/>
      <c r="Z17" s="52">
        <f t="shared" si="14"/>
        <v>0</v>
      </c>
      <c r="AA17" s="107"/>
      <c r="AB17" s="52">
        <f t="shared" si="15"/>
        <v>0</v>
      </c>
      <c r="AC17" s="76">
        <f t="shared" si="3"/>
        <v>0</v>
      </c>
      <c r="AD17" s="77">
        <v>3</v>
      </c>
      <c r="AE17" s="78"/>
      <c r="AF17" s="69"/>
      <c r="AG17" s="68"/>
      <c r="AH17" s="68"/>
      <c r="AI17" s="70">
        <f t="shared" si="26"/>
        <v>3</v>
      </c>
      <c r="AJ17" s="71">
        <f t="shared" si="16"/>
        <v>0</v>
      </c>
      <c r="AK17" s="53"/>
      <c r="AL17" s="52">
        <f t="shared" si="17"/>
        <v>0</v>
      </c>
      <c r="AM17" s="53"/>
      <c r="AN17" s="52">
        <f t="shared" si="18"/>
        <v>0</v>
      </c>
      <c r="AO17" s="53"/>
      <c r="AP17" s="52">
        <f t="shared" si="19"/>
        <v>0</v>
      </c>
      <c r="AQ17" s="93"/>
      <c r="AR17" s="73">
        <f t="shared" si="20"/>
        <v>0</v>
      </c>
      <c r="AS17" s="80"/>
      <c r="AT17" s="73">
        <f t="shared" si="21"/>
        <v>0</v>
      </c>
      <c r="AU17" s="89"/>
      <c r="AV17" s="52">
        <f t="shared" si="22"/>
        <v>0</v>
      </c>
      <c r="AW17" s="53"/>
      <c r="AX17" s="52">
        <f t="shared" si="23"/>
        <v>0</v>
      </c>
      <c r="AY17" s="108"/>
      <c r="AZ17" s="52">
        <f t="shared" si="27"/>
        <v>0</v>
      </c>
      <c r="BA17" s="82">
        <f t="shared" si="4"/>
        <v>0</v>
      </c>
      <c r="BB17" s="83">
        <f t="shared" si="24"/>
        <v>3</v>
      </c>
      <c r="BC17" s="84"/>
      <c r="BD17" s="65">
        <f t="shared" si="5"/>
        <v>0</v>
      </c>
      <c r="BE17" s="168"/>
    </row>
    <row r="18" spans="1:57" s="1" customFormat="1" ht="100.5" customHeight="1" x14ac:dyDescent="0.15">
      <c r="A18" s="14">
        <v>12</v>
      </c>
      <c r="B18" s="85" t="s">
        <v>47</v>
      </c>
      <c r="C18" s="77">
        <v>9</v>
      </c>
      <c r="D18" s="78">
        <v>2</v>
      </c>
      <c r="E18" s="69"/>
      <c r="F18" s="69"/>
      <c r="G18" s="70">
        <f t="shared" si="25"/>
        <v>11</v>
      </c>
      <c r="H18" s="71">
        <v>14</v>
      </c>
      <c r="I18" s="86"/>
      <c r="J18" s="52">
        <f t="shared" si="6"/>
        <v>0</v>
      </c>
      <c r="K18" s="53"/>
      <c r="L18" s="73">
        <f t="shared" si="7"/>
        <v>0</v>
      </c>
      <c r="M18" s="89"/>
      <c r="N18" s="73">
        <f t="shared" si="8"/>
        <v>0</v>
      </c>
      <c r="O18" s="53"/>
      <c r="P18" s="73">
        <f t="shared" si="9"/>
        <v>0</v>
      </c>
      <c r="Q18" s="88"/>
      <c r="R18" s="52">
        <f t="shared" si="10"/>
        <v>0</v>
      </c>
      <c r="S18" s="53"/>
      <c r="T18" s="52">
        <f t="shared" si="11"/>
        <v>0</v>
      </c>
      <c r="U18" s="53"/>
      <c r="V18" s="52">
        <f t="shared" si="12"/>
        <v>0</v>
      </c>
      <c r="W18" s="53"/>
      <c r="X18" s="52">
        <f t="shared" si="13"/>
        <v>0</v>
      </c>
      <c r="Y18" s="53"/>
      <c r="Z18" s="52">
        <f t="shared" si="14"/>
        <v>0</v>
      </c>
      <c r="AA18" s="93"/>
      <c r="AB18" s="52">
        <f t="shared" si="15"/>
        <v>0</v>
      </c>
      <c r="AC18" s="76">
        <f t="shared" si="3"/>
        <v>0</v>
      </c>
      <c r="AD18" s="77">
        <v>9</v>
      </c>
      <c r="AE18" s="78">
        <v>2</v>
      </c>
      <c r="AF18" s="68"/>
      <c r="AG18" s="68">
        <v>1</v>
      </c>
      <c r="AH18" s="68"/>
      <c r="AI18" s="70">
        <f t="shared" si="26"/>
        <v>12</v>
      </c>
      <c r="AJ18" s="71">
        <f t="shared" si="16"/>
        <v>2</v>
      </c>
      <c r="AK18" s="53"/>
      <c r="AL18" s="52">
        <f t="shared" si="17"/>
        <v>0</v>
      </c>
      <c r="AM18" s="53"/>
      <c r="AN18" s="52">
        <f t="shared" si="18"/>
        <v>0</v>
      </c>
      <c r="AO18" s="181"/>
      <c r="AP18" s="52">
        <f t="shared" si="19"/>
        <v>0</v>
      </c>
      <c r="AQ18" s="182"/>
      <c r="AR18" s="73">
        <f t="shared" si="20"/>
        <v>0</v>
      </c>
      <c r="AS18" s="183"/>
      <c r="AT18" s="73">
        <f t="shared" si="21"/>
        <v>0</v>
      </c>
      <c r="AU18" s="89"/>
      <c r="AV18" s="52">
        <f t="shared" si="22"/>
        <v>0</v>
      </c>
      <c r="AW18" s="184"/>
      <c r="AX18" s="52">
        <f t="shared" si="23"/>
        <v>0</v>
      </c>
      <c r="AY18" s="53"/>
      <c r="AZ18" s="52">
        <f t="shared" si="27"/>
        <v>0</v>
      </c>
      <c r="BA18" s="174">
        <f t="shared" si="4"/>
        <v>0</v>
      </c>
      <c r="BB18" s="175">
        <f t="shared" si="24"/>
        <v>14</v>
      </c>
      <c r="BC18" s="103"/>
      <c r="BD18" s="104">
        <f t="shared" si="5"/>
        <v>2</v>
      </c>
      <c r="BE18" s="166"/>
    </row>
    <row r="19" spans="1:57" s="1" customFormat="1" ht="153.75" customHeight="1" x14ac:dyDescent="0.15">
      <c r="A19" s="14">
        <v>13</v>
      </c>
      <c r="B19" s="85" t="s">
        <v>48</v>
      </c>
      <c r="C19" s="77">
        <v>13</v>
      </c>
      <c r="D19" s="78">
        <v>2</v>
      </c>
      <c r="E19" s="69"/>
      <c r="F19" s="69"/>
      <c r="G19" s="70">
        <f t="shared" si="25"/>
        <v>15</v>
      </c>
      <c r="H19" s="71">
        <v>16</v>
      </c>
      <c r="I19" s="86"/>
      <c r="J19" s="52">
        <f t="shared" si="6"/>
        <v>0</v>
      </c>
      <c r="K19" s="53"/>
      <c r="L19" s="52">
        <f t="shared" si="7"/>
        <v>0</v>
      </c>
      <c r="M19" s="98"/>
      <c r="N19" s="73">
        <f t="shared" si="8"/>
        <v>0</v>
      </c>
      <c r="O19" s="53"/>
      <c r="P19" s="52">
        <f t="shared" si="9"/>
        <v>0</v>
      </c>
      <c r="Q19" s="88"/>
      <c r="R19" s="52">
        <f t="shared" si="10"/>
        <v>0</v>
      </c>
      <c r="S19" s="88"/>
      <c r="T19" s="52">
        <f t="shared" si="11"/>
        <v>0</v>
      </c>
      <c r="U19" s="53"/>
      <c r="V19" s="52">
        <f t="shared" si="12"/>
        <v>0</v>
      </c>
      <c r="W19" s="93"/>
      <c r="X19" s="52">
        <f t="shared" si="13"/>
        <v>0</v>
      </c>
      <c r="Y19" s="53"/>
      <c r="Z19" s="52">
        <f t="shared" si="14"/>
        <v>0</v>
      </c>
      <c r="AA19" s="53"/>
      <c r="AB19" s="52">
        <f t="shared" si="15"/>
        <v>0</v>
      </c>
      <c r="AC19" s="76">
        <f t="shared" si="3"/>
        <v>0</v>
      </c>
      <c r="AD19" s="77">
        <v>13</v>
      </c>
      <c r="AE19" s="78">
        <v>2</v>
      </c>
      <c r="AF19" s="69"/>
      <c r="AG19" s="68">
        <v>1</v>
      </c>
      <c r="AH19" s="69"/>
      <c r="AI19" s="70">
        <f t="shared" si="26"/>
        <v>16</v>
      </c>
      <c r="AJ19" s="71">
        <f t="shared" si="16"/>
        <v>0</v>
      </c>
      <c r="AK19" s="185"/>
      <c r="AL19" s="52">
        <f t="shared" si="17"/>
        <v>0</v>
      </c>
      <c r="AM19" s="53"/>
      <c r="AN19" s="52">
        <f t="shared" si="18"/>
        <v>0</v>
      </c>
      <c r="AO19" s="53"/>
      <c r="AP19" s="52">
        <f t="shared" si="19"/>
        <v>0</v>
      </c>
      <c r="AQ19" s="53"/>
      <c r="AR19" s="73">
        <f t="shared" si="20"/>
        <v>0</v>
      </c>
      <c r="AS19" s="106"/>
      <c r="AT19" s="73">
        <f t="shared" si="21"/>
        <v>0</v>
      </c>
      <c r="AU19" s="89"/>
      <c r="AV19" s="52">
        <f t="shared" si="22"/>
        <v>0</v>
      </c>
      <c r="AW19" s="93"/>
      <c r="AX19" s="52">
        <f t="shared" si="23"/>
        <v>0</v>
      </c>
      <c r="AY19" s="88"/>
      <c r="AZ19" s="92">
        <f t="shared" si="27"/>
        <v>0</v>
      </c>
      <c r="BA19" s="82">
        <f t="shared" si="4"/>
        <v>0</v>
      </c>
      <c r="BB19" s="83">
        <f t="shared" si="24"/>
        <v>16</v>
      </c>
      <c r="BC19" s="103"/>
      <c r="BD19" s="65">
        <f t="shared" si="5"/>
        <v>0</v>
      </c>
      <c r="BE19" s="167"/>
    </row>
    <row r="20" spans="1:57" s="1" customFormat="1" ht="198.75" customHeight="1" x14ac:dyDescent="0.15">
      <c r="A20" s="14">
        <v>14</v>
      </c>
      <c r="B20" s="85" t="s">
        <v>49</v>
      </c>
      <c r="C20" s="77">
        <v>10</v>
      </c>
      <c r="D20" s="78">
        <v>2</v>
      </c>
      <c r="E20" s="69"/>
      <c r="F20" s="69"/>
      <c r="G20" s="70">
        <f t="shared" si="25"/>
        <v>12</v>
      </c>
      <c r="H20" s="71">
        <v>13</v>
      </c>
      <c r="I20" s="86"/>
      <c r="J20" s="110">
        <f t="shared" si="6"/>
        <v>0</v>
      </c>
      <c r="K20" s="164"/>
      <c r="L20" s="87">
        <f t="shared" si="7"/>
        <v>0</v>
      </c>
      <c r="M20" s="98"/>
      <c r="N20" s="52">
        <f t="shared" si="8"/>
        <v>0</v>
      </c>
      <c r="O20" s="88"/>
      <c r="P20" s="87">
        <f t="shared" si="9"/>
        <v>0</v>
      </c>
      <c r="Q20" s="88"/>
      <c r="R20" s="52">
        <f t="shared" si="10"/>
        <v>0</v>
      </c>
      <c r="S20" s="88"/>
      <c r="T20" s="52">
        <f t="shared" si="11"/>
        <v>0</v>
      </c>
      <c r="U20" s="88"/>
      <c r="V20" s="52">
        <f t="shared" si="12"/>
        <v>0</v>
      </c>
      <c r="W20" s="88"/>
      <c r="X20" s="52">
        <f t="shared" si="13"/>
        <v>0</v>
      </c>
      <c r="Y20" s="53"/>
      <c r="Z20" s="52">
        <f t="shared" si="14"/>
        <v>0</v>
      </c>
      <c r="AA20" s="88"/>
      <c r="AB20" s="52">
        <f t="shared" si="15"/>
        <v>0</v>
      </c>
      <c r="AC20" s="76">
        <f t="shared" si="3"/>
        <v>0</v>
      </c>
      <c r="AD20" s="77">
        <v>10</v>
      </c>
      <c r="AE20" s="78">
        <v>2</v>
      </c>
      <c r="AF20" s="69"/>
      <c r="AG20" s="69"/>
      <c r="AH20" s="69"/>
      <c r="AI20" s="70">
        <f t="shared" si="26"/>
        <v>12</v>
      </c>
      <c r="AJ20" s="71">
        <f t="shared" si="16"/>
        <v>1</v>
      </c>
      <c r="AK20" s="53"/>
      <c r="AL20" s="52">
        <f t="shared" si="17"/>
        <v>0</v>
      </c>
      <c r="AM20" s="53"/>
      <c r="AN20" s="52">
        <f t="shared" si="18"/>
        <v>0</v>
      </c>
      <c r="AO20" s="88"/>
      <c r="AP20" s="52">
        <f t="shared" si="19"/>
        <v>0</v>
      </c>
      <c r="AQ20" s="88"/>
      <c r="AR20" s="73">
        <f t="shared" si="20"/>
        <v>0</v>
      </c>
      <c r="AS20" s="106"/>
      <c r="AT20" s="73">
        <f t="shared" si="21"/>
        <v>0</v>
      </c>
      <c r="AU20" s="98"/>
      <c r="AV20" s="52">
        <f t="shared" si="22"/>
        <v>0</v>
      </c>
      <c r="AW20" s="88"/>
      <c r="AX20" s="52">
        <f t="shared" si="23"/>
        <v>0</v>
      </c>
      <c r="AY20" s="53"/>
      <c r="AZ20" s="92">
        <f t="shared" si="27"/>
        <v>0</v>
      </c>
      <c r="BA20" s="82">
        <f t="shared" si="4"/>
        <v>0</v>
      </c>
      <c r="BB20" s="83">
        <f t="shared" si="24"/>
        <v>13</v>
      </c>
      <c r="BC20" s="84"/>
      <c r="BD20" s="65">
        <f t="shared" si="5"/>
        <v>1</v>
      </c>
      <c r="BE20" s="169"/>
    </row>
    <row r="21" spans="1:57" s="1" customFormat="1" ht="125.25" customHeight="1" x14ac:dyDescent="0.15">
      <c r="A21" s="14">
        <v>15</v>
      </c>
      <c r="B21" s="85" t="s">
        <v>50</v>
      </c>
      <c r="C21" s="77">
        <v>17</v>
      </c>
      <c r="D21" s="78">
        <v>4</v>
      </c>
      <c r="E21" s="69"/>
      <c r="F21" s="69"/>
      <c r="G21" s="70">
        <f t="shared" si="25"/>
        <v>21</v>
      </c>
      <c r="H21" s="111">
        <v>22</v>
      </c>
      <c r="I21" s="72"/>
      <c r="J21" s="110">
        <f t="shared" si="6"/>
        <v>0</v>
      </c>
      <c r="K21" s="53"/>
      <c r="L21" s="52">
        <f t="shared" si="7"/>
        <v>0</v>
      </c>
      <c r="M21" s="89"/>
      <c r="N21" s="74">
        <f t="shared" si="8"/>
        <v>0</v>
      </c>
      <c r="O21" s="53"/>
      <c r="P21" s="73">
        <f t="shared" si="9"/>
        <v>0</v>
      </c>
      <c r="Q21" s="53"/>
      <c r="R21" s="52">
        <f t="shared" si="10"/>
        <v>0</v>
      </c>
      <c r="S21" s="53"/>
      <c r="T21" s="52">
        <f t="shared" si="11"/>
        <v>0</v>
      </c>
      <c r="U21" s="53"/>
      <c r="V21" s="52">
        <f t="shared" si="12"/>
        <v>0</v>
      </c>
      <c r="W21" s="53"/>
      <c r="X21" s="52">
        <f t="shared" si="13"/>
        <v>0</v>
      </c>
      <c r="Y21" s="53"/>
      <c r="Z21" s="52">
        <f t="shared" si="14"/>
        <v>0</v>
      </c>
      <c r="AA21" s="53"/>
      <c r="AB21" s="52">
        <f t="shared" si="15"/>
        <v>0</v>
      </c>
      <c r="AC21" s="76">
        <f t="shared" si="3"/>
        <v>0</v>
      </c>
      <c r="AD21" s="77">
        <v>17</v>
      </c>
      <c r="AE21" s="78">
        <v>4</v>
      </c>
      <c r="AF21" s="69"/>
      <c r="AG21" s="68">
        <v>1</v>
      </c>
      <c r="AH21" s="69"/>
      <c r="AI21" s="70">
        <f t="shared" si="26"/>
        <v>22</v>
      </c>
      <c r="AJ21" s="71">
        <f t="shared" si="16"/>
        <v>0</v>
      </c>
      <c r="AK21" s="53"/>
      <c r="AL21" s="52">
        <f t="shared" si="17"/>
        <v>0</v>
      </c>
      <c r="AM21" s="53"/>
      <c r="AN21" s="52">
        <f t="shared" si="18"/>
        <v>0</v>
      </c>
      <c r="AO21" s="53"/>
      <c r="AP21" s="52">
        <f t="shared" si="19"/>
        <v>0</v>
      </c>
      <c r="AQ21" s="53"/>
      <c r="AR21" s="73">
        <f t="shared" si="20"/>
        <v>0</v>
      </c>
      <c r="AS21" s="106"/>
      <c r="AT21" s="73">
        <f t="shared" si="21"/>
        <v>0</v>
      </c>
      <c r="AU21" s="89"/>
      <c r="AV21" s="52">
        <f t="shared" si="22"/>
        <v>0</v>
      </c>
      <c r="AW21" s="53"/>
      <c r="AX21" s="52">
        <f t="shared" si="23"/>
        <v>0</v>
      </c>
      <c r="AY21" s="53"/>
      <c r="AZ21" s="92">
        <f t="shared" si="27"/>
        <v>0</v>
      </c>
      <c r="BA21" s="82">
        <f t="shared" si="4"/>
        <v>0</v>
      </c>
      <c r="BB21" s="83">
        <f t="shared" si="24"/>
        <v>22</v>
      </c>
      <c r="BC21" s="84"/>
      <c r="BD21" s="65">
        <f t="shared" si="5"/>
        <v>0</v>
      </c>
      <c r="BE21" s="169"/>
    </row>
    <row r="22" spans="1:57" s="1" customFormat="1" ht="348.75" customHeight="1" x14ac:dyDescent="0.15">
      <c r="A22" s="14">
        <v>16</v>
      </c>
      <c r="B22" s="85" t="s">
        <v>38</v>
      </c>
      <c r="C22" s="77">
        <v>37</v>
      </c>
      <c r="D22" s="78">
        <v>8</v>
      </c>
      <c r="E22" s="69">
        <v>1</v>
      </c>
      <c r="F22" s="69">
        <v>1</v>
      </c>
      <c r="G22" s="70">
        <f t="shared" si="25"/>
        <v>47</v>
      </c>
      <c r="H22" s="71">
        <v>46</v>
      </c>
      <c r="I22" s="72"/>
      <c r="J22" s="87">
        <f t="shared" si="6"/>
        <v>0</v>
      </c>
      <c r="K22" s="53"/>
      <c r="L22" s="87">
        <f t="shared" si="7"/>
        <v>0</v>
      </c>
      <c r="M22" s="89"/>
      <c r="N22" s="73">
        <f t="shared" si="8"/>
        <v>0</v>
      </c>
      <c r="O22" s="53"/>
      <c r="P22" s="73">
        <f t="shared" si="9"/>
        <v>0</v>
      </c>
      <c r="Q22" s="53"/>
      <c r="R22" s="52">
        <f t="shared" si="10"/>
        <v>0</v>
      </c>
      <c r="S22" s="53"/>
      <c r="T22" s="52">
        <f t="shared" si="11"/>
        <v>0</v>
      </c>
      <c r="U22" s="53"/>
      <c r="V22" s="52">
        <f t="shared" si="12"/>
        <v>0</v>
      </c>
      <c r="W22" s="53"/>
      <c r="X22" s="52">
        <f t="shared" si="13"/>
        <v>0</v>
      </c>
      <c r="Y22" s="53"/>
      <c r="Z22" s="52">
        <f t="shared" si="14"/>
        <v>0</v>
      </c>
      <c r="AA22" s="53"/>
      <c r="AB22" s="52">
        <f t="shared" si="15"/>
        <v>0</v>
      </c>
      <c r="AC22" s="76">
        <f t="shared" si="3"/>
        <v>0</v>
      </c>
      <c r="AD22" s="77">
        <v>37</v>
      </c>
      <c r="AE22" s="78">
        <v>8</v>
      </c>
      <c r="AF22" s="69">
        <v>1</v>
      </c>
      <c r="AG22" s="68">
        <v>1</v>
      </c>
      <c r="AH22" s="69">
        <v>1</v>
      </c>
      <c r="AI22" s="70">
        <f t="shared" si="26"/>
        <v>48</v>
      </c>
      <c r="AJ22" s="71">
        <f t="shared" si="16"/>
        <v>-2</v>
      </c>
      <c r="AK22" s="53"/>
      <c r="AL22" s="52">
        <f t="shared" si="17"/>
        <v>0</v>
      </c>
      <c r="AM22" s="53"/>
      <c r="AN22" s="52">
        <f t="shared" si="18"/>
        <v>0</v>
      </c>
      <c r="AO22" s="53"/>
      <c r="AP22" s="52">
        <f t="shared" si="19"/>
        <v>0</v>
      </c>
      <c r="AQ22" s="53"/>
      <c r="AR22" s="73">
        <f t="shared" si="20"/>
        <v>0</v>
      </c>
      <c r="AS22" s="80"/>
      <c r="AT22" s="73">
        <f t="shared" si="21"/>
        <v>0</v>
      </c>
      <c r="AU22" s="89"/>
      <c r="AV22" s="52">
        <f t="shared" si="22"/>
        <v>0</v>
      </c>
      <c r="AW22" s="53"/>
      <c r="AX22" s="52">
        <f t="shared" si="23"/>
        <v>0</v>
      </c>
      <c r="AY22" s="53"/>
      <c r="AZ22" s="92">
        <f t="shared" si="27"/>
        <v>0</v>
      </c>
      <c r="BA22" s="82">
        <f t="shared" si="4"/>
        <v>0</v>
      </c>
      <c r="BB22" s="83">
        <f t="shared" si="24"/>
        <v>46</v>
      </c>
      <c r="BC22" s="84"/>
      <c r="BD22" s="65">
        <f t="shared" si="5"/>
        <v>-2</v>
      </c>
      <c r="BE22" s="169"/>
    </row>
    <row r="23" spans="1:57" s="1" customFormat="1" ht="56.25" customHeight="1" x14ac:dyDescent="0.15">
      <c r="A23" s="14">
        <v>17</v>
      </c>
      <c r="B23" s="163" t="s">
        <v>51</v>
      </c>
      <c r="C23" s="66">
        <v>6</v>
      </c>
      <c r="D23" s="67">
        <v>1</v>
      </c>
      <c r="E23" s="68"/>
      <c r="F23" s="68"/>
      <c r="G23" s="173">
        <f t="shared" si="25"/>
        <v>7</v>
      </c>
      <c r="H23" s="111">
        <v>7</v>
      </c>
      <c r="I23" s="86"/>
      <c r="J23" s="73">
        <f t="shared" si="6"/>
        <v>0</v>
      </c>
      <c r="K23" s="88"/>
      <c r="L23" s="52">
        <f t="shared" si="7"/>
        <v>0</v>
      </c>
      <c r="M23" s="171"/>
      <c r="N23" s="52">
        <f t="shared" si="8"/>
        <v>0</v>
      </c>
      <c r="O23" s="172"/>
      <c r="P23" s="52">
        <f t="shared" si="9"/>
        <v>0</v>
      </c>
      <c r="Q23" s="88"/>
      <c r="R23" s="52">
        <f t="shared" si="10"/>
        <v>0</v>
      </c>
      <c r="S23" s="88"/>
      <c r="T23" s="52">
        <f t="shared" si="11"/>
        <v>0</v>
      </c>
      <c r="U23" s="88"/>
      <c r="V23" s="52">
        <f t="shared" si="12"/>
        <v>0</v>
      </c>
      <c r="W23" s="88"/>
      <c r="X23" s="52">
        <f t="shared" si="13"/>
        <v>0</v>
      </c>
      <c r="Y23" s="53"/>
      <c r="Z23" s="52">
        <f t="shared" si="14"/>
        <v>0</v>
      </c>
      <c r="AA23" s="88"/>
      <c r="AB23" s="52">
        <f t="shared" si="15"/>
        <v>0</v>
      </c>
      <c r="AC23" s="76">
        <f t="shared" si="3"/>
        <v>0</v>
      </c>
      <c r="AD23" s="66">
        <v>6</v>
      </c>
      <c r="AE23" s="67">
        <v>1</v>
      </c>
      <c r="AF23" s="68"/>
      <c r="AG23" s="68"/>
      <c r="AH23" s="68"/>
      <c r="AI23" s="173">
        <f t="shared" si="26"/>
        <v>7</v>
      </c>
      <c r="AJ23" s="111">
        <f t="shared" si="16"/>
        <v>0</v>
      </c>
      <c r="AK23" s="53"/>
      <c r="AL23" s="52">
        <f t="shared" si="17"/>
        <v>0</v>
      </c>
      <c r="AM23" s="53"/>
      <c r="AN23" s="52">
        <f t="shared" si="18"/>
        <v>0</v>
      </c>
      <c r="AO23" s="88"/>
      <c r="AP23" s="52">
        <f t="shared" si="19"/>
        <v>0</v>
      </c>
      <c r="AQ23" s="88"/>
      <c r="AR23" s="73">
        <f t="shared" si="20"/>
        <v>0</v>
      </c>
      <c r="AS23" s="106"/>
      <c r="AT23" s="73">
        <f t="shared" si="21"/>
        <v>0</v>
      </c>
      <c r="AU23" s="98"/>
      <c r="AV23" s="52">
        <f t="shared" si="22"/>
        <v>0</v>
      </c>
      <c r="AW23" s="88"/>
      <c r="AX23" s="52">
        <f t="shared" si="23"/>
        <v>0</v>
      </c>
      <c r="AY23" s="88"/>
      <c r="AZ23" s="52">
        <f t="shared" si="27"/>
        <v>0</v>
      </c>
      <c r="BA23" s="174">
        <f t="shared" si="4"/>
        <v>0</v>
      </c>
      <c r="BB23" s="175">
        <f t="shared" si="24"/>
        <v>7</v>
      </c>
      <c r="BC23" s="103"/>
      <c r="BD23" s="65">
        <f t="shared" si="5"/>
        <v>0</v>
      </c>
      <c r="BE23" s="169"/>
    </row>
    <row r="24" spans="1:57" s="1" customFormat="1" ht="116.25" customHeight="1" x14ac:dyDescent="0.15">
      <c r="A24" s="14">
        <v>18</v>
      </c>
      <c r="B24" s="163" t="s">
        <v>52</v>
      </c>
      <c r="C24" s="77">
        <v>12</v>
      </c>
      <c r="D24" s="78">
        <v>2</v>
      </c>
      <c r="E24" s="69">
        <v>1</v>
      </c>
      <c r="F24" s="69"/>
      <c r="G24" s="70">
        <f t="shared" si="25"/>
        <v>15</v>
      </c>
      <c r="H24" s="71">
        <v>15</v>
      </c>
      <c r="I24" s="86"/>
      <c r="J24" s="52">
        <f t="shared" si="6"/>
        <v>0</v>
      </c>
      <c r="K24" s="109"/>
      <c r="L24" s="52">
        <f t="shared" si="7"/>
        <v>0</v>
      </c>
      <c r="M24" s="89"/>
      <c r="N24" s="52">
        <f t="shared" si="8"/>
        <v>0</v>
      </c>
      <c r="O24" s="53"/>
      <c r="P24" s="52">
        <f t="shared" si="9"/>
        <v>0</v>
      </c>
      <c r="Q24" s="88"/>
      <c r="R24" s="52">
        <f t="shared" si="10"/>
        <v>0</v>
      </c>
      <c r="S24" s="53"/>
      <c r="T24" s="52">
        <f t="shared" si="11"/>
        <v>0</v>
      </c>
      <c r="U24" s="53"/>
      <c r="V24" s="52">
        <f t="shared" si="12"/>
        <v>0</v>
      </c>
      <c r="W24" s="53"/>
      <c r="X24" s="52">
        <f t="shared" si="13"/>
        <v>0</v>
      </c>
      <c r="Y24" s="53"/>
      <c r="Z24" s="52">
        <f t="shared" si="14"/>
        <v>0</v>
      </c>
      <c r="AA24" s="53"/>
      <c r="AB24" s="52">
        <f t="shared" si="15"/>
        <v>0</v>
      </c>
      <c r="AC24" s="76">
        <f t="shared" si="3"/>
        <v>0</v>
      </c>
      <c r="AD24" s="77">
        <v>12</v>
      </c>
      <c r="AE24" s="78">
        <v>2</v>
      </c>
      <c r="AF24" s="69">
        <v>1</v>
      </c>
      <c r="AG24" s="69"/>
      <c r="AH24" s="69"/>
      <c r="AI24" s="70">
        <f t="shared" si="26"/>
        <v>15</v>
      </c>
      <c r="AJ24" s="71">
        <f t="shared" si="16"/>
        <v>0</v>
      </c>
      <c r="AK24" s="185"/>
      <c r="AL24" s="52">
        <f t="shared" si="17"/>
        <v>0</v>
      </c>
      <c r="AM24" s="53"/>
      <c r="AN24" s="52">
        <f t="shared" si="18"/>
        <v>0</v>
      </c>
      <c r="AO24" s="88"/>
      <c r="AP24" s="52">
        <f t="shared" si="19"/>
        <v>0</v>
      </c>
      <c r="AQ24" s="53"/>
      <c r="AR24" s="73">
        <f t="shared" si="20"/>
        <v>0</v>
      </c>
      <c r="AS24" s="106"/>
      <c r="AT24" s="73">
        <f t="shared" si="21"/>
        <v>0</v>
      </c>
      <c r="AU24" s="89"/>
      <c r="AV24" s="52">
        <f t="shared" si="22"/>
        <v>0</v>
      </c>
      <c r="AW24" s="53"/>
      <c r="AX24" s="52">
        <f t="shared" si="23"/>
        <v>0</v>
      </c>
      <c r="AY24" s="53"/>
      <c r="AZ24" s="92">
        <f t="shared" si="27"/>
        <v>0</v>
      </c>
      <c r="BA24" s="82">
        <f t="shared" si="4"/>
        <v>0</v>
      </c>
      <c r="BB24" s="83">
        <f t="shared" si="24"/>
        <v>15</v>
      </c>
      <c r="BC24" s="84"/>
      <c r="BD24" s="65">
        <f t="shared" si="5"/>
        <v>0</v>
      </c>
      <c r="BE24" s="169"/>
    </row>
    <row r="25" spans="1:57" s="1" customFormat="1" ht="63.75" customHeight="1" x14ac:dyDescent="0.15">
      <c r="A25" s="14">
        <v>19</v>
      </c>
      <c r="B25" s="85" t="s">
        <v>53</v>
      </c>
      <c r="C25" s="77">
        <v>6</v>
      </c>
      <c r="D25" s="78">
        <v>1</v>
      </c>
      <c r="E25" s="69"/>
      <c r="F25" s="69"/>
      <c r="G25" s="70">
        <f t="shared" si="25"/>
        <v>7</v>
      </c>
      <c r="H25" s="71">
        <v>6</v>
      </c>
      <c r="I25" s="86"/>
      <c r="J25" s="52">
        <f t="shared" si="6"/>
        <v>0</v>
      </c>
      <c r="K25" s="88"/>
      <c r="L25" s="52">
        <f t="shared" si="7"/>
        <v>0</v>
      </c>
      <c r="M25" s="89"/>
      <c r="N25" s="74">
        <f t="shared" si="8"/>
        <v>0</v>
      </c>
      <c r="O25" s="53"/>
      <c r="P25" s="52">
        <f t="shared" si="9"/>
        <v>0</v>
      </c>
      <c r="Q25" s="53"/>
      <c r="R25" s="52">
        <f t="shared" si="10"/>
        <v>0</v>
      </c>
      <c r="S25" s="53"/>
      <c r="T25" s="52">
        <f t="shared" si="11"/>
        <v>0</v>
      </c>
      <c r="U25" s="53"/>
      <c r="V25" s="52">
        <f t="shared" si="12"/>
        <v>0</v>
      </c>
      <c r="W25" s="53"/>
      <c r="X25" s="52">
        <f t="shared" si="13"/>
        <v>0</v>
      </c>
      <c r="Y25" s="53"/>
      <c r="Z25" s="52">
        <f t="shared" si="14"/>
        <v>0</v>
      </c>
      <c r="AA25" s="53"/>
      <c r="AB25" s="52">
        <f t="shared" si="15"/>
        <v>0</v>
      </c>
      <c r="AC25" s="76">
        <f t="shared" si="3"/>
        <v>0</v>
      </c>
      <c r="AD25" s="77">
        <v>6</v>
      </c>
      <c r="AE25" s="78">
        <v>1</v>
      </c>
      <c r="AF25" s="69"/>
      <c r="AG25" s="69"/>
      <c r="AH25" s="69"/>
      <c r="AI25" s="70">
        <f t="shared" si="26"/>
        <v>7</v>
      </c>
      <c r="AJ25" s="71">
        <f>H25-AC25-AI25</f>
        <v>-1</v>
      </c>
      <c r="AK25" s="53"/>
      <c r="AL25" s="52">
        <f t="shared" si="17"/>
        <v>0</v>
      </c>
      <c r="AM25" s="53"/>
      <c r="AN25" s="52">
        <f t="shared" si="18"/>
        <v>0</v>
      </c>
      <c r="AO25" s="53"/>
      <c r="AP25" s="52">
        <f t="shared" si="19"/>
        <v>0</v>
      </c>
      <c r="AQ25" s="88"/>
      <c r="AR25" s="73">
        <f t="shared" si="20"/>
        <v>0</v>
      </c>
      <c r="AS25" s="106"/>
      <c r="AT25" s="73">
        <f t="shared" si="21"/>
        <v>0</v>
      </c>
      <c r="AU25" s="89"/>
      <c r="AV25" s="52">
        <f t="shared" si="22"/>
        <v>0</v>
      </c>
      <c r="AW25" s="53"/>
      <c r="AX25" s="52">
        <f t="shared" si="23"/>
        <v>0</v>
      </c>
      <c r="AY25" s="101"/>
      <c r="AZ25" s="92">
        <f t="shared" si="27"/>
        <v>0</v>
      </c>
      <c r="BA25" s="82">
        <f t="shared" si="4"/>
        <v>0</v>
      </c>
      <c r="BB25" s="83">
        <f t="shared" si="24"/>
        <v>6</v>
      </c>
      <c r="BC25" s="84"/>
      <c r="BD25" s="65">
        <f t="shared" si="5"/>
        <v>-1</v>
      </c>
      <c r="BE25" s="168"/>
    </row>
    <row r="26" spans="1:57" s="1" customFormat="1" ht="59.25" customHeight="1" x14ac:dyDescent="0.15">
      <c r="A26" s="14">
        <v>20</v>
      </c>
      <c r="B26" s="85" t="s">
        <v>54</v>
      </c>
      <c r="C26" s="77">
        <v>3</v>
      </c>
      <c r="D26" s="78"/>
      <c r="E26" s="69"/>
      <c r="F26" s="69"/>
      <c r="G26" s="70">
        <f t="shared" si="25"/>
        <v>3</v>
      </c>
      <c r="H26" s="71">
        <v>3</v>
      </c>
      <c r="I26" s="72"/>
      <c r="J26" s="52">
        <f t="shared" si="6"/>
        <v>0</v>
      </c>
      <c r="K26" s="53"/>
      <c r="L26" s="52">
        <f t="shared" si="7"/>
        <v>0</v>
      </c>
      <c r="M26" s="89"/>
      <c r="N26" s="73">
        <f t="shared" si="8"/>
        <v>0</v>
      </c>
      <c r="O26" s="53"/>
      <c r="P26" s="52">
        <f t="shared" si="9"/>
        <v>0</v>
      </c>
      <c r="Q26" s="53"/>
      <c r="R26" s="52">
        <f t="shared" si="10"/>
        <v>0</v>
      </c>
      <c r="S26" s="53"/>
      <c r="T26" s="52">
        <f t="shared" si="11"/>
        <v>0</v>
      </c>
      <c r="U26" s="53"/>
      <c r="V26" s="52">
        <f t="shared" si="12"/>
        <v>0</v>
      </c>
      <c r="W26" s="53"/>
      <c r="X26" s="52">
        <f t="shared" si="13"/>
        <v>0</v>
      </c>
      <c r="Y26" s="53"/>
      <c r="Z26" s="52">
        <f t="shared" si="14"/>
        <v>0</v>
      </c>
      <c r="AA26" s="53"/>
      <c r="AB26" s="52">
        <f t="shared" si="15"/>
        <v>0</v>
      </c>
      <c r="AC26" s="76">
        <f t="shared" si="3"/>
        <v>0</v>
      </c>
      <c r="AD26" s="77">
        <v>3</v>
      </c>
      <c r="AE26" s="78"/>
      <c r="AF26" s="69"/>
      <c r="AG26" s="69"/>
      <c r="AH26" s="69"/>
      <c r="AI26" s="70">
        <f t="shared" si="26"/>
        <v>3</v>
      </c>
      <c r="AJ26" s="71">
        <f t="shared" si="16"/>
        <v>0</v>
      </c>
      <c r="AK26" s="53"/>
      <c r="AL26" s="52">
        <f t="shared" si="17"/>
        <v>0</v>
      </c>
      <c r="AM26" s="53"/>
      <c r="AN26" s="52">
        <f t="shared" si="18"/>
        <v>0</v>
      </c>
      <c r="AO26" s="53"/>
      <c r="AP26" s="52">
        <f t="shared" si="19"/>
        <v>0</v>
      </c>
      <c r="AQ26" s="53"/>
      <c r="AR26" s="73">
        <f t="shared" si="20"/>
        <v>0</v>
      </c>
      <c r="AS26" s="106"/>
      <c r="AT26" s="73">
        <f t="shared" si="21"/>
        <v>0</v>
      </c>
      <c r="AU26" s="89"/>
      <c r="AV26" s="52">
        <f t="shared" si="22"/>
        <v>0</v>
      </c>
      <c r="AW26" s="53"/>
      <c r="AX26" s="52">
        <f t="shared" si="23"/>
        <v>0</v>
      </c>
      <c r="AY26" s="101"/>
      <c r="AZ26" s="92">
        <f t="shared" si="27"/>
        <v>0</v>
      </c>
      <c r="BA26" s="82">
        <f t="shared" si="4"/>
        <v>0</v>
      </c>
      <c r="BB26" s="83">
        <f t="shared" si="24"/>
        <v>3</v>
      </c>
      <c r="BC26" s="84"/>
      <c r="BD26" s="65">
        <f t="shared" si="5"/>
        <v>0</v>
      </c>
      <c r="BE26" s="168"/>
    </row>
    <row r="27" spans="1:57" s="1" customFormat="1" ht="252.75" customHeight="1" x14ac:dyDescent="0.15">
      <c r="A27" s="14">
        <v>21</v>
      </c>
      <c r="B27" s="112" t="s">
        <v>55</v>
      </c>
      <c r="C27" s="113">
        <v>28</v>
      </c>
      <c r="D27" s="114">
        <v>6</v>
      </c>
      <c r="E27" s="115">
        <v>1</v>
      </c>
      <c r="F27" s="115"/>
      <c r="G27" s="70">
        <f t="shared" si="25"/>
        <v>35</v>
      </c>
      <c r="H27" s="71">
        <v>34</v>
      </c>
      <c r="I27" s="116"/>
      <c r="J27" s="87">
        <f t="shared" si="6"/>
        <v>0</v>
      </c>
      <c r="K27" s="91"/>
      <c r="L27" s="52">
        <f t="shared" si="7"/>
        <v>0</v>
      </c>
      <c r="M27" s="117"/>
      <c r="N27" s="73">
        <f t="shared" si="8"/>
        <v>0</v>
      </c>
      <c r="O27" s="91"/>
      <c r="P27" s="87">
        <f t="shared" si="9"/>
        <v>0</v>
      </c>
      <c r="Q27" s="91"/>
      <c r="R27" s="52">
        <f t="shared" si="10"/>
        <v>0</v>
      </c>
      <c r="S27" s="91"/>
      <c r="T27" s="52">
        <f t="shared" si="11"/>
        <v>0</v>
      </c>
      <c r="U27" s="91"/>
      <c r="V27" s="52">
        <f t="shared" si="12"/>
        <v>0</v>
      </c>
      <c r="W27" s="91"/>
      <c r="X27" s="52">
        <f t="shared" si="13"/>
        <v>0</v>
      </c>
      <c r="Y27" s="91"/>
      <c r="Z27" s="52">
        <f t="shared" si="14"/>
        <v>0</v>
      </c>
      <c r="AA27" s="91"/>
      <c r="AB27" s="52">
        <f t="shared" si="15"/>
        <v>0</v>
      </c>
      <c r="AC27" s="76">
        <f t="shared" si="3"/>
        <v>0</v>
      </c>
      <c r="AD27" s="113">
        <v>28</v>
      </c>
      <c r="AE27" s="114">
        <v>6</v>
      </c>
      <c r="AF27" s="115">
        <v>1</v>
      </c>
      <c r="AG27" s="115"/>
      <c r="AH27" s="115"/>
      <c r="AI27" s="70">
        <f t="shared" si="26"/>
        <v>35</v>
      </c>
      <c r="AJ27" s="71">
        <f>H27-AC27-AI27</f>
        <v>-1</v>
      </c>
      <c r="AK27" s="186"/>
      <c r="AL27" s="52">
        <f t="shared" si="17"/>
        <v>0</v>
      </c>
      <c r="AM27" s="91"/>
      <c r="AN27" s="52">
        <f t="shared" si="18"/>
        <v>0</v>
      </c>
      <c r="AO27" s="118"/>
      <c r="AP27" s="52">
        <f t="shared" si="19"/>
        <v>0</v>
      </c>
      <c r="AQ27" s="119"/>
      <c r="AR27" s="73">
        <f t="shared" si="20"/>
        <v>0</v>
      </c>
      <c r="AS27" s="120"/>
      <c r="AT27" s="73">
        <f t="shared" si="21"/>
        <v>0</v>
      </c>
      <c r="AU27" s="117"/>
      <c r="AV27" s="52">
        <f t="shared" si="22"/>
        <v>0</v>
      </c>
      <c r="AW27" s="91"/>
      <c r="AX27" s="52">
        <f t="shared" si="23"/>
        <v>0</v>
      </c>
      <c r="AY27" s="121"/>
      <c r="AZ27" s="92">
        <f t="shared" si="27"/>
        <v>0</v>
      </c>
      <c r="BA27" s="82">
        <f>SUM(AL27,AT27,AV27,AX27,AZ27,AN27,AP27,AR27)</f>
        <v>0</v>
      </c>
      <c r="BB27" s="83">
        <f>H27-AC27+BA27</f>
        <v>34</v>
      </c>
      <c r="BC27" s="122"/>
      <c r="BD27" s="65">
        <f t="shared" si="5"/>
        <v>-1</v>
      </c>
      <c r="BE27" s="166"/>
    </row>
    <row r="28" spans="1:57" s="1" customFormat="1" ht="30.75" customHeight="1" x14ac:dyDescent="0.15">
      <c r="A28" s="14">
        <v>22</v>
      </c>
      <c r="B28" s="112" t="s">
        <v>56</v>
      </c>
      <c r="C28" s="113">
        <v>5</v>
      </c>
      <c r="D28" s="114">
        <v>1</v>
      </c>
      <c r="E28" s="115"/>
      <c r="F28" s="115"/>
      <c r="G28" s="70">
        <f t="shared" si="25"/>
        <v>6</v>
      </c>
      <c r="H28" s="71">
        <v>6</v>
      </c>
      <c r="I28" s="116"/>
      <c r="J28" s="52">
        <f t="shared" si="6"/>
        <v>0</v>
      </c>
      <c r="K28" s="91"/>
      <c r="L28" s="110">
        <f t="shared" si="7"/>
        <v>0</v>
      </c>
      <c r="M28" s="117"/>
      <c r="N28" s="52">
        <f t="shared" si="8"/>
        <v>0</v>
      </c>
      <c r="O28" s="91"/>
      <c r="P28" s="52">
        <f t="shared" si="9"/>
        <v>0</v>
      </c>
      <c r="Q28" s="91"/>
      <c r="R28" s="52">
        <f t="shared" si="10"/>
        <v>0</v>
      </c>
      <c r="S28" s="91"/>
      <c r="T28" s="52">
        <f t="shared" si="11"/>
        <v>0</v>
      </c>
      <c r="U28" s="91"/>
      <c r="V28" s="52">
        <f t="shared" si="12"/>
        <v>0</v>
      </c>
      <c r="W28" s="91"/>
      <c r="X28" s="52">
        <f t="shared" si="13"/>
        <v>0</v>
      </c>
      <c r="Y28" s="91"/>
      <c r="Z28" s="52">
        <f t="shared" si="14"/>
        <v>0</v>
      </c>
      <c r="AA28" s="91"/>
      <c r="AB28" s="52">
        <f t="shared" si="15"/>
        <v>0</v>
      </c>
      <c r="AC28" s="76">
        <f t="shared" si="3"/>
        <v>0</v>
      </c>
      <c r="AD28" s="176">
        <v>5</v>
      </c>
      <c r="AE28" s="177">
        <v>1</v>
      </c>
      <c r="AF28" s="178"/>
      <c r="AG28" s="178"/>
      <c r="AH28" s="178"/>
      <c r="AI28" s="173">
        <f t="shared" si="26"/>
        <v>6</v>
      </c>
      <c r="AJ28" s="111">
        <f>H28-AC28-AI28</f>
        <v>0</v>
      </c>
      <c r="AK28" s="91"/>
      <c r="AL28" s="52">
        <f t="shared" si="17"/>
        <v>0</v>
      </c>
      <c r="AM28" s="91"/>
      <c r="AN28" s="52">
        <f t="shared" si="18"/>
        <v>0</v>
      </c>
      <c r="AO28" s="119"/>
      <c r="AP28" s="52">
        <f t="shared" si="19"/>
        <v>0</v>
      </c>
      <c r="AQ28" s="119"/>
      <c r="AR28" s="73">
        <f t="shared" si="20"/>
        <v>0</v>
      </c>
      <c r="AS28" s="120"/>
      <c r="AT28" s="73">
        <f t="shared" si="21"/>
        <v>0</v>
      </c>
      <c r="AU28" s="117"/>
      <c r="AV28" s="52">
        <f t="shared" si="22"/>
        <v>0</v>
      </c>
      <c r="AW28" s="91"/>
      <c r="AX28" s="52">
        <f t="shared" si="23"/>
        <v>0</v>
      </c>
      <c r="AY28" s="179"/>
      <c r="AZ28" s="52">
        <f t="shared" si="27"/>
        <v>0</v>
      </c>
      <c r="BA28" s="174">
        <f>SUM(AL28,AT28,AV28,AX28,AZ28,AN28,AP28,AR28)</f>
        <v>0</v>
      </c>
      <c r="BB28" s="175">
        <f>H28-AC28+BA28</f>
        <v>6</v>
      </c>
      <c r="BC28" s="187"/>
      <c r="BD28" s="65">
        <f t="shared" si="5"/>
        <v>0</v>
      </c>
      <c r="BE28" s="168"/>
    </row>
    <row r="29" spans="1:57" s="1" customFormat="1" ht="122.25" customHeight="1" thickBot="1" x14ac:dyDescent="0.2">
      <c r="A29" s="15">
        <v>23</v>
      </c>
      <c r="B29" s="123" t="s">
        <v>57</v>
      </c>
      <c r="C29" s="124">
        <v>9</v>
      </c>
      <c r="D29" s="125">
        <v>2</v>
      </c>
      <c r="E29" s="126"/>
      <c r="F29" s="126"/>
      <c r="G29" s="127">
        <f t="shared" si="25"/>
        <v>11</v>
      </c>
      <c r="H29" s="128">
        <v>13</v>
      </c>
      <c r="I29" s="129"/>
      <c r="J29" s="130">
        <f>LEN(I29)-LEN(SUBSTITUTE(I29,",",""))</f>
        <v>0</v>
      </c>
      <c r="K29" s="131"/>
      <c r="L29" s="130">
        <f>LEN(K29)-LEN(SUBSTITUTE(K29,",",""))</f>
        <v>0</v>
      </c>
      <c r="M29" s="132"/>
      <c r="N29" s="133">
        <f t="shared" si="8"/>
        <v>0</v>
      </c>
      <c r="O29" s="131"/>
      <c r="P29" s="130">
        <f t="shared" si="9"/>
        <v>0</v>
      </c>
      <c r="Q29" s="131"/>
      <c r="R29" s="130">
        <f t="shared" si="10"/>
        <v>0</v>
      </c>
      <c r="S29" s="131"/>
      <c r="T29" s="134">
        <f>LEN(S29)-LEN(SUBSTITUTE(S29,",",""))</f>
        <v>0</v>
      </c>
      <c r="U29" s="131"/>
      <c r="V29" s="134">
        <f t="shared" si="12"/>
        <v>0</v>
      </c>
      <c r="W29" s="131"/>
      <c r="X29" s="134">
        <f t="shared" si="13"/>
        <v>0</v>
      </c>
      <c r="Y29" s="135"/>
      <c r="Z29" s="134">
        <f t="shared" si="14"/>
        <v>0</v>
      </c>
      <c r="AA29" s="136"/>
      <c r="AB29" s="134">
        <f>LEN(AA29)-LEN(SUBSTITUTE(AA29,",",""))</f>
        <v>0</v>
      </c>
      <c r="AC29" s="137">
        <f t="shared" si="3"/>
        <v>0</v>
      </c>
      <c r="AD29" s="124">
        <v>9</v>
      </c>
      <c r="AE29" s="125">
        <v>2</v>
      </c>
      <c r="AF29" s="126"/>
      <c r="AG29" s="126"/>
      <c r="AH29" s="126"/>
      <c r="AI29" s="127">
        <f t="shared" si="26"/>
        <v>11</v>
      </c>
      <c r="AJ29" s="128">
        <f>H29-AC29-AI29</f>
        <v>2</v>
      </c>
      <c r="AK29" s="138"/>
      <c r="AL29" s="139">
        <f t="shared" si="17"/>
        <v>0</v>
      </c>
      <c r="AM29" s="135"/>
      <c r="AN29" s="139">
        <f t="shared" si="18"/>
        <v>0</v>
      </c>
      <c r="AO29" s="135"/>
      <c r="AP29" s="139">
        <f t="shared" si="19"/>
        <v>0</v>
      </c>
      <c r="AQ29" s="138"/>
      <c r="AR29" s="139">
        <f>LEN(AQ29)-LEN(SUBSTITUTE(AQ29,",",""))</f>
        <v>0</v>
      </c>
      <c r="AS29" s="170"/>
      <c r="AT29" s="139">
        <f t="shared" si="21"/>
        <v>0</v>
      </c>
      <c r="AU29" s="132"/>
      <c r="AV29" s="139">
        <f t="shared" si="22"/>
        <v>0</v>
      </c>
      <c r="AW29" s="135"/>
      <c r="AX29" s="139">
        <f t="shared" si="23"/>
        <v>0</v>
      </c>
      <c r="AY29" s="140"/>
      <c r="AZ29" s="134">
        <f t="shared" si="27"/>
        <v>0</v>
      </c>
      <c r="BA29" s="141">
        <f>SUM(AL29,AT29,AV29,AX29,AZ29,AN29,AP29,AR29)</f>
        <v>0</v>
      </c>
      <c r="BB29" s="142">
        <f>H29-AC29+BA29</f>
        <v>13</v>
      </c>
      <c r="BC29" s="143"/>
      <c r="BD29" s="144">
        <f t="shared" si="5"/>
        <v>2</v>
      </c>
      <c r="BE29" s="169"/>
    </row>
    <row r="30" spans="1:57" s="1" customFormat="1" ht="14.25" x14ac:dyDescent="0.15">
      <c r="C30" s="16"/>
      <c r="H30" s="16"/>
      <c r="I30" s="17"/>
      <c r="J30" s="30"/>
      <c r="K30" s="16"/>
      <c r="O30" s="16"/>
      <c r="P30" s="16"/>
      <c r="Q30" s="16"/>
      <c r="V30" s="16"/>
      <c r="AC30" s="18"/>
      <c r="AD30" s="19"/>
      <c r="AE30" s="19"/>
      <c r="AF30" s="19"/>
      <c r="AG30" s="19"/>
      <c r="AH30" s="19"/>
      <c r="AI30" s="35"/>
      <c r="AJ30" s="35"/>
      <c r="AW30" s="13"/>
      <c r="AY30" s="13"/>
      <c r="BA30" s="18"/>
      <c r="BB30" s="18"/>
      <c r="BC30" s="18"/>
      <c r="BD30" s="18"/>
    </row>
    <row r="31" spans="1:57" x14ac:dyDescent="0.3">
      <c r="D31" s="192"/>
      <c r="E31" s="36"/>
      <c r="F31" s="34"/>
      <c r="O31" s="22"/>
      <c r="P31" s="31"/>
      <c r="Y31" s="22"/>
      <c r="AA31" s="22"/>
      <c r="AC31" s="23"/>
      <c r="AD31" s="24"/>
      <c r="AE31" s="24"/>
      <c r="AF31" s="24"/>
      <c r="AG31" s="24"/>
      <c r="AH31" s="24"/>
      <c r="AI31" s="25"/>
      <c r="AJ31" s="26"/>
      <c r="AU31" s="27"/>
      <c r="AZ31" s="28"/>
      <c r="BA31" s="25"/>
      <c r="BB31" s="25"/>
      <c r="BC31" s="25"/>
      <c r="BD31" s="25"/>
    </row>
    <row r="32" spans="1:57" x14ac:dyDescent="0.3">
      <c r="D32" s="192"/>
      <c r="E32" s="36"/>
      <c r="F32" s="34"/>
      <c r="O32" s="22"/>
      <c r="Y32" s="22"/>
      <c r="AA32" s="22"/>
      <c r="AC32" s="23"/>
      <c r="AD32" s="24"/>
      <c r="AE32" s="24"/>
      <c r="AF32" s="24"/>
      <c r="AG32" s="24"/>
      <c r="AH32" s="24"/>
      <c r="AI32" s="25"/>
      <c r="AJ32" s="25"/>
      <c r="AZ32" s="28"/>
      <c r="BA32" s="25"/>
      <c r="BB32" s="25"/>
      <c r="BC32" s="25"/>
      <c r="BD32" s="25"/>
    </row>
    <row r="33" spans="30:34" x14ac:dyDescent="0.3">
      <c r="AD33" s="29"/>
      <c r="AE33" s="29"/>
      <c r="AF33" s="29"/>
      <c r="AG33" s="29"/>
      <c r="AH33" s="29"/>
    </row>
    <row r="34" spans="30:34" x14ac:dyDescent="0.3">
      <c r="AD34" s="29"/>
      <c r="AE34" s="29"/>
      <c r="AF34" s="29"/>
      <c r="AG34" s="29"/>
      <c r="AH34" s="29"/>
    </row>
    <row r="35" spans="30:34" x14ac:dyDescent="0.3">
      <c r="AD35" s="29"/>
      <c r="AE35" s="29"/>
      <c r="AF35" s="29"/>
      <c r="AG35" s="29"/>
      <c r="AH35" s="29"/>
    </row>
    <row r="36" spans="30:34" x14ac:dyDescent="0.3">
      <c r="AD36" s="29"/>
      <c r="AE36" s="29"/>
      <c r="AF36" s="29"/>
      <c r="AG36" s="29"/>
      <c r="AH36" s="29"/>
    </row>
    <row r="37" spans="30:34" x14ac:dyDescent="0.3">
      <c r="AD37" s="29"/>
      <c r="AE37" s="29"/>
      <c r="AF37" s="29"/>
      <c r="AG37" s="29"/>
      <c r="AH37" s="29"/>
    </row>
    <row r="38" spans="30:34" x14ac:dyDescent="0.3">
      <c r="AD38" s="29"/>
      <c r="AE38" s="29"/>
      <c r="AF38" s="29"/>
      <c r="AG38" s="29"/>
      <c r="AH38" s="29"/>
    </row>
    <row r="39" spans="30:34" x14ac:dyDescent="0.3">
      <c r="AD39" s="29"/>
      <c r="AE39" s="29"/>
      <c r="AF39" s="29"/>
      <c r="AG39" s="29"/>
      <c r="AH39" s="29"/>
    </row>
    <row r="40" spans="30:34" x14ac:dyDescent="0.3">
      <c r="AD40" s="29"/>
      <c r="AE40" s="29"/>
      <c r="AF40" s="29"/>
      <c r="AG40" s="29"/>
      <c r="AH40" s="29"/>
    </row>
    <row r="41" spans="30:34" x14ac:dyDescent="0.3">
      <c r="AD41" s="29"/>
      <c r="AE41" s="29"/>
      <c r="AF41" s="29"/>
      <c r="AG41" s="29"/>
      <c r="AH41" s="29"/>
    </row>
    <row r="42" spans="30:34" x14ac:dyDescent="0.3">
      <c r="AD42" s="29"/>
      <c r="AE42" s="29"/>
      <c r="AF42" s="29"/>
      <c r="AG42" s="29"/>
      <c r="AH42" s="29"/>
    </row>
    <row r="43" spans="30:34" x14ac:dyDescent="0.3">
      <c r="AD43" s="29"/>
      <c r="AE43" s="29"/>
      <c r="AF43" s="29"/>
      <c r="AG43" s="29"/>
      <c r="AH43" s="29"/>
    </row>
    <row r="44" spans="30:34" x14ac:dyDescent="0.3">
      <c r="AD44" s="29"/>
      <c r="AE44" s="29"/>
      <c r="AF44" s="29"/>
      <c r="AG44" s="29"/>
      <c r="AH44" s="29"/>
    </row>
    <row r="45" spans="30:34" x14ac:dyDescent="0.3">
      <c r="AD45" s="29"/>
      <c r="AE45" s="29"/>
      <c r="AF45" s="29"/>
      <c r="AG45" s="29"/>
      <c r="AH45" s="29"/>
    </row>
    <row r="46" spans="30:34" x14ac:dyDescent="0.3">
      <c r="AD46" s="29"/>
      <c r="AE46" s="29"/>
      <c r="AF46" s="29"/>
      <c r="AG46" s="29"/>
      <c r="AH46" s="29"/>
    </row>
    <row r="47" spans="30:34" x14ac:dyDescent="0.3">
      <c r="AD47" s="29"/>
      <c r="AE47" s="29"/>
      <c r="AF47" s="29"/>
      <c r="AG47" s="29"/>
      <c r="AH47" s="29"/>
    </row>
    <row r="48" spans="30:34" x14ac:dyDescent="0.3">
      <c r="AD48" s="29"/>
      <c r="AE48" s="29"/>
      <c r="AF48" s="29"/>
      <c r="AG48" s="29"/>
      <c r="AH48" s="29"/>
    </row>
  </sheetData>
  <mergeCells count="46">
    <mergeCell ref="A1:BD1"/>
    <mergeCell ref="I2:AB2"/>
    <mergeCell ref="A3:A5"/>
    <mergeCell ref="B3:B5"/>
    <mergeCell ref="C3:G3"/>
    <mergeCell ref="H3:H5"/>
    <mergeCell ref="I3:Z3"/>
    <mergeCell ref="AC3:AC5"/>
    <mergeCell ref="AD3:AI3"/>
    <mergeCell ref="AJ3:AJ5"/>
    <mergeCell ref="BD3:BD5"/>
    <mergeCell ref="M4:N4"/>
    <mergeCell ref="C4:C5"/>
    <mergeCell ref="D4:D5"/>
    <mergeCell ref="G4:G5"/>
    <mergeCell ref="I4:J4"/>
    <mergeCell ref="AG4:AG5"/>
    <mergeCell ref="F4:F5"/>
    <mergeCell ref="AF4:AF5"/>
    <mergeCell ref="BE3:BE5"/>
    <mergeCell ref="AO4:AP4"/>
    <mergeCell ref="AQ4:AR4"/>
    <mergeCell ref="AS4:AT4"/>
    <mergeCell ref="AU4:AV4"/>
    <mergeCell ref="AK3:AZ3"/>
    <mergeCell ref="BA3:BA5"/>
    <mergeCell ref="BB3:BB5"/>
    <mergeCell ref="BC3:BC5"/>
    <mergeCell ref="AW4:AX4"/>
    <mergeCell ref="AY4:AZ4"/>
    <mergeCell ref="A6:B6"/>
    <mergeCell ref="AK4:AL4"/>
    <mergeCell ref="AM4:AN4"/>
    <mergeCell ref="D31:D32"/>
    <mergeCell ref="AA4:AB4"/>
    <mergeCell ref="AD4:AD5"/>
    <mergeCell ref="AE4:AE5"/>
    <mergeCell ref="AI4:AI5"/>
    <mergeCell ref="O4:P4"/>
    <mergeCell ref="Q4:R4"/>
    <mergeCell ref="S4:T4"/>
    <mergeCell ref="U4:V4"/>
    <mergeCell ref="W4:X4"/>
    <mergeCell ref="Y4:Z4"/>
    <mergeCell ref="K4:L4"/>
    <mergeCell ref="AH4:AH5"/>
  </mergeCells>
  <phoneticPr fontId="3" type="noConversion"/>
  <conditionalFormatting sqref="BD7:BD29">
    <cfRule type="cellIs" dxfId="0" priority="1" stopIfTrue="1" operator="greaterThan">
      <formula>0</formula>
    </cfRule>
  </conditionalFormatting>
  <printOptions horizontalCentered="1"/>
  <pageMargins left="3.937007874015748E-2" right="3.937007874015748E-2" top="0.15748031496062992" bottom="0.15748031496062992" header="0.31496062992125984" footer="0.31496062992125984"/>
  <pageSetup paperSize="8" scale="26" orientation="landscape" cellComments="asDisplaye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</dc:creator>
  <cp:lastModifiedBy>USER</cp:lastModifiedBy>
  <cp:lastPrinted>2025-02-10T02:46:34Z</cp:lastPrinted>
  <dcterms:created xsi:type="dcterms:W3CDTF">2021-02-02T00:11:13Z</dcterms:created>
  <dcterms:modified xsi:type="dcterms:W3CDTF">2026-01-21T02:00:20Z</dcterms:modified>
</cp:coreProperties>
</file>